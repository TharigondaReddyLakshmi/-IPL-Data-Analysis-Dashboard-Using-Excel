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Excel practice\"/>
    </mc:Choice>
  </mc:AlternateContent>
  <xr:revisionPtr revIDLastSave="0" documentId="8_{2B6936CF-CD3B-435D-8BA2-AB1578663131}" xr6:coauthVersionLast="47" xr6:coauthVersionMax="47" xr10:uidLastSave="{00000000-0000-0000-0000-000000000000}"/>
  <bookViews>
    <workbookView xWindow="-108" yWindow="-108" windowWidth="23256" windowHeight="12456" firstSheet="1" activeTab="7" xr2:uid="{BD6DC105-26BC-0840-B73B-AB7EA5752191}"/>
  </bookViews>
  <sheets>
    <sheet name="Matches win by Team" sheetId="10" r:id="rId1"/>
    <sheet name="Toss Decision" sheetId="11" r:id="rId2"/>
    <sheet name="Top 10 Venues" sheetId="12" r:id="rId3"/>
    <sheet name="MOM" sheetId="13" r:id="rId4"/>
    <sheet name="Winners" sheetId="14" r:id="rId5"/>
    <sheet name="Winner Data" sheetId="6" r:id="rId6"/>
    <sheet name="KPi" sheetId="15" r:id="rId7"/>
    <sheet name="DASHBOARD" sheetId="16" r:id="rId8"/>
  </sheets>
  <definedNames>
    <definedName name="_xlchart.v1.0" hidden="1">Winners!$E$4:$E$11</definedName>
    <definedName name="_xlchart.v1.1" hidden="1">Winners!$F$3</definedName>
    <definedName name="_xlchart.v1.2" hidden="1">Winners!$F$4:$F$11</definedName>
    <definedName name="_xlchart.v1.3" hidden="1">Winners!$E$4:$E$11</definedName>
    <definedName name="_xlchart.v1.4" hidden="1">Winners!$F$3</definedName>
    <definedName name="_xlchart.v1.5" hidden="1">Winners!$F$4:$F$11</definedName>
    <definedName name="Slicer_Season">#N/A</definedName>
  </definedNames>
  <calcPr calcId="191029"/>
  <pivotCaches>
    <pivotCache cacheId="9" r:id="rId9"/>
    <pivotCache cacheId="1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5" l="1"/>
  <c r="F6" i="15" s="1"/>
  <c r="E5" i="14"/>
  <c r="E6" i="14"/>
  <c r="E7" i="14"/>
  <c r="E8" i="14"/>
  <c r="E9" i="14"/>
  <c r="E10" i="14"/>
  <c r="E11" i="14"/>
  <c r="E4" i="14"/>
  <c r="D5" i="13"/>
  <c r="D6" i="13"/>
  <c r="D7" i="13"/>
  <c r="D8" i="13"/>
  <c r="D9" i="13"/>
  <c r="D10" i="13"/>
  <c r="D11" i="13"/>
  <c r="D12" i="13"/>
  <c r="D13" i="13"/>
  <c r="D4" i="13"/>
  <c r="F5" i="14"/>
  <c r="F10" i="14"/>
  <c r="F6" i="14"/>
  <c r="F7" i="14"/>
  <c r="F8" i="14"/>
  <c r="F9" i="14"/>
  <c r="F11" i="14"/>
  <c r="F4" i="14"/>
  <c r="E11" i="13"/>
  <c r="E4" i="13"/>
  <c r="E12" i="13"/>
  <c r="E13" i="13"/>
  <c r="E10" i="13"/>
  <c r="E9" i="13"/>
  <c r="E6" i="13"/>
  <c r="E8" i="13"/>
  <c r="E5" i="13"/>
  <c r="E7" i="13"/>
  <c r="G6" i="15" l="1"/>
  <c r="H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16C159-BE9F-4C54-B5C1-5994169D56F3}" keepAlive="1" name="Query - IPL" description="Connection to the 'IPL' query in the workbook." type="5" refreshedVersion="0" background="1">
    <dbPr connection="Provider=Microsoft.Mashup.OleDb.1;Data Source=$Workbook$;Location=IPL;Extended Properties=&quot;&quot;" command="SELECT * FROM [IPL]"/>
  </connection>
</connections>
</file>

<file path=xl/sharedStrings.xml><?xml version="1.0" encoding="utf-8"?>
<sst xmlns="http://schemas.openxmlformats.org/spreadsheetml/2006/main" count="214" uniqueCount="87">
  <si>
    <t>Rajasthan Royals</t>
  </si>
  <si>
    <t>Mumbai Indians</t>
  </si>
  <si>
    <t>field</t>
  </si>
  <si>
    <t>NA</t>
  </si>
  <si>
    <t>bat</t>
  </si>
  <si>
    <t>Royal Challengers Bangalore</t>
  </si>
  <si>
    <t>Kolkata Knight Riders</t>
  </si>
  <si>
    <t>Chennai Super Kings</t>
  </si>
  <si>
    <t>Sunrisers Hyderabad</t>
  </si>
  <si>
    <t>Punjab Kings</t>
  </si>
  <si>
    <t>Wankhede Stadium, Mumbai</t>
  </si>
  <si>
    <t>Lucknow Super Giants</t>
  </si>
  <si>
    <t>Shubman Gill</t>
  </si>
  <si>
    <t>Delhi Capitals</t>
  </si>
  <si>
    <t>RA Jadeja</t>
  </si>
  <si>
    <t>Deccan Chargers</t>
  </si>
  <si>
    <t>Gujarat Titans</t>
  </si>
  <si>
    <t>Royal Challengers Bengaluru</t>
  </si>
  <si>
    <t>V Kohli</t>
  </si>
  <si>
    <t>Rising Pune Supergiant</t>
  </si>
  <si>
    <t>Row Labels</t>
  </si>
  <si>
    <t>Grand Total</t>
  </si>
  <si>
    <t>Count of toss_winner</t>
  </si>
  <si>
    <t>Column Labels</t>
  </si>
  <si>
    <t>Count of winner</t>
  </si>
  <si>
    <t>Year</t>
  </si>
  <si>
    <t>Count of player_of_match</t>
  </si>
  <si>
    <t>Winner</t>
  </si>
  <si>
    <t>Runner-Up</t>
  </si>
  <si>
    <t>Count of Winner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</si>
  <si>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</si>
  <si>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</si>
  <si>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</si>
  <si>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</si>
  <si>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</si>
  <si>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</si>
  <si>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</si>
  <si>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</si>
  <si>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</si>
  <si>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</si>
  <si>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</si>
  <si>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</si>
  <si>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</si>
  <si>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</si>
  <si>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</si>
  <si>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</si>
  <si>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</si>
  <si>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</si>
  <si>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</si>
  <si>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</si>
  <si>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</si>
  <si>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</si>
  <si>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</si>
  <si>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</si>
  <si>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</si>
  <si>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</si>
  <si>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</si>
  <si>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</si>
  <si>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</si>
  <si>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</si>
  <si>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</si>
  <si>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</si>
  <si>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Player Name</t>
  </si>
  <si>
    <t>No. of MOM</t>
  </si>
  <si>
    <t>Team Name</t>
  </si>
  <si>
    <t>No. of Wins</t>
  </si>
  <si>
    <t>F du Plessis</t>
  </si>
  <si>
    <t>Rashid Khan</t>
  </si>
  <si>
    <t>MP Stoinis</t>
  </si>
  <si>
    <t>Arun Jaitley Stadium, Delhi</t>
  </si>
  <si>
    <t>Narendra Modi Stadium, Ahmedabad</t>
  </si>
  <si>
    <t>MA Chidambaram Stadium, Chepauk, Chennai</t>
  </si>
  <si>
    <t>RD Gaikwad</t>
  </si>
  <si>
    <t>Sawai Mansingh Stadium, Jaipur</t>
  </si>
  <si>
    <t>Punjab Cricket Association IS Bindra Stadium, Mohali, Chandigarh</t>
  </si>
  <si>
    <t>M Chinnaswamy Stadium, Bengaluru</t>
  </si>
  <si>
    <t>Bharat Ratna Shri Atal Bihari Vajpayee Ekana Cricket Stadium, Lucknow</t>
  </si>
  <si>
    <t>Rajiv Gandhi International Stadium, Uppal, Hyderabad</t>
  </si>
  <si>
    <t>Eden Gardens, Kolkata</t>
  </si>
  <si>
    <t>YBK Jaiswal</t>
  </si>
  <si>
    <t>DP Conway</t>
  </si>
  <si>
    <t>RK Singh</t>
  </si>
  <si>
    <t>MM Sharma</t>
  </si>
  <si>
    <t>N Pooran</t>
  </si>
  <si>
    <t>SA Yadav</t>
  </si>
  <si>
    <t>C Green</t>
  </si>
  <si>
    <t>CV Varun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</si>
</sst>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19" fillId="0" borderId="0" xfId="0" applyFont="1" applyAlignment="1">
      <alignment horizontal="center" vertical="center"/>
    </xf>
    <xf numFmtId="0" fontId="20" fillId="0" borderId="0" xfId="0" applyFont="1"/>
    <xf numFmtId="0" fontId="21" fillId="0" borderId="0" xfId="0" applyFont="1"/>
    <xf numFmtId="0" fontId="22" fillId="0" borderId="0" xfId="0" applyFont="1"/>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23" fillId="33" borderId="12"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toss won</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Team'!$A$5:$A$16</c:f>
              <c:strCache>
                <c:ptCount val="11"/>
                <c:pt idx="0">
                  <c:v>Gujarat Titans</c:v>
                </c:pt>
                <c:pt idx="1">
                  <c:v>Chennai Super Kings</c:v>
                </c:pt>
                <c:pt idx="2">
                  <c:v>Mumbai Indians</c:v>
                </c:pt>
                <c:pt idx="3">
                  <c:v>Lucknow Super Giants</c:v>
                </c:pt>
                <c:pt idx="4">
                  <c:v>Royal Challengers Bangalore</c:v>
                </c:pt>
                <c:pt idx="5">
                  <c:v>Rajasthan Royals</c:v>
                </c:pt>
                <c:pt idx="6">
                  <c:v>Punjab Kings</c:v>
                </c:pt>
                <c:pt idx="7">
                  <c:v>Kolkata Knight Riders</c:v>
                </c:pt>
                <c:pt idx="8">
                  <c:v>Delhi Capitals</c:v>
                </c:pt>
                <c:pt idx="9">
                  <c:v>Sunrisers Hyderabad</c:v>
                </c:pt>
                <c:pt idx="10">
                  <c:v>NA</c:v>
                </c:pt>
              </c:strCache>
            </c:strRef>
          </c:cat>
          <c:val>
            <c:numRef>
              <c:f>'Matches win by Team'!$B$5:$B$16</c:f>
              <c:numCache>
                <c:formatCode>General</c:formatCode>
                <c:ptCount val="11"/>
                <c:pt idx="0">
                  <c:v>2</c:v>
                </c:pt>
                <c:pt idx="1">
                  <c:v>2</c:v>
                </c:pt>
                <c:pt idx="2">
                  <c:v>2</c:v>
                </c:pt>
                <c:pt idx="3">
                  <c:v>2</c:v>
                </c:pt>
                <c:pt idx="4">
                  <c:v>2</c:v>
                </c:pt>
                <c:pt idx="5">
                  <c:v>1</c:v>
                </c:pt>
                <c:pt idx="6">
                  <c:v>1</c:v>
                </c:pt>
                <c:pt idx="7">
                  <c:v>4</c:v>
                </c:pt>
                <c:pt idx="8">
                  <c:v>3</c:v>
                </c:pt>
                <c:pt idx="9">
                  <c:v>2</c:v>
                </c:pt>
              </c:numCache>
            </c:numRef>
          </c:val>
          <c:extLst>
            <c:ext xmlns:c16="http://schemas.microsoft.com/office/drawing/2014/chart" uri="{C3380CC4-5D6E-409C-BE32-E72D297353CC}">
              <c16:uniqueId val="{00000000-2C57-F34C-A583-A682F106FC50}"/>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Team'!$A$5:$A$16</c:f>
              <c:strCache>
                <c:ptCount val="11"/>
                <c:pt idx="0">
                  <c:v>Gujarat Titans</c:v>
                </c:pt>
                <c:pt idx="1">
                  <c:v>Chennai Super Kings</c:v>
                </c:pt>
                <c:pt idx="2">
                  <c:v>Mumbai Indians</c:v>
                </c:pt>
                <c:pt idx="3">
                  <c:v>Lucknow Super Giants</c:v>
                </c:pt>
                <c:pt idx="4">
                  <c:v>Royal Challengers Bangalore</c:v>
                </c:pt>
                <c:pt idx="5">
                  <c:v>Rajasthan Royals</c:v>
                </c:pt>
                <c:pt idx="6">
                  <c:v>Punjab Kings</c:v>
                </c:pt>
                <c:pt idx="7">
                  <c:v>Kolkata Knight Riders</c:v>
                </c:pt>
                <c:pt idx="8">
                  <c:v>Delhi Capitals</c:v>
                </c:pt>
                <c:pt idx="9">
                  <c:v>Sunrisers Hyderabad</c:v>
                </c:pt>
                <c:pt idx="10">
                  <c:v>NA</c:v>
                </c:pt>
              </c:strCache>
            </c:strRef>
          </c:cat>
          <c:val>
            <c:numRef>
              <c:f>'Matches win by Team'!$C$5:$C$16</c:f>
              <c:numCache>
                <c:formatCode>General</c:formatCode>
                <c:ptCount val="11"/>
                <c:pt idx="0">
                  <c:v>9</c:v>
                </c:pt>
                <c:pt idx="1">
                  <c:v>8</c:v>
                </c:pt>
                <c:pt idx="2">
                  <c:v>7</c:v>
                </c:pt>
                <c:pt idx="3">
                  <c:v>6</c:v>
                </c:pt>
                <c:pt idx="4">
                  <c:v>5</c:v>
                </c:pt>
                <c:pt idx="5">
                  <c:v>6</c:v>
                </c:pt>
                <c:pt idx="6">
                  <c:v>5</c:v>
                </c:pt>
                <c:pt idx="7">
                  <c:v>2</c:v>
                </c:pt>
                <c:pt idx="8">
                  <c:v>2</c:v>
                </c:pt>
                <c:pt idx="9">
                  <c:v>2</c:v>
                </c:pt>
                <c:pt idx="10">
                  <c:v>1</c:v>
                </c:pt>
              </c:numCache>
            </c:numRef>
          </c:val>
          <c:extLst>
            <c:ext xmlns:c16="http://schemas.microsoft.com/office/drawing/2014/chart" uri="{C3380CC4-5D6E-409C-BE32-E72D297353CC}">
              <c16:uniqueId val="{00000001-2C57-F34C-A583-A682F106FC50}"/>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Decision!Toss Decision</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A85-4DC9-A8BB-895A3A48362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A85-4DC9-A8BB-895A3A4836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21</c:v>
                </c:pt>
                <c:pt idx="1">
                  <c:v>53</c:v>
                </c:pt>
              </c:numCache>
            </c:numRef>
          </c:val>
          <c:extLst>
            <c:ext xmlns:c16="http://schemas.microsoft.com/office/drawing/2014/chart" uri="{C3380CC4-5D6E-409C-BE32-E72D297353CC}">
              <c16:uniqueId val="{00000000-3B6A-8949-98AD-C9E3DF5326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Venues!Top 10 Venues</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Sawai Mansingh Stadium, Jaipur</c:v>
                </c:pt>
                <c:pt idx="1">
                  <c:v>Punjab Cricket Association IS Bindra Stadium, Mohali, Chandigarh</c:v>
                </c:pt>
                <c:pt idx="2">
                  <c:v>M Chinnaswamy Stadium, Bengaluru</c:v>
                </c:pt>
                <c:pt idx="3">
                  <c:v>Bharat Ratna Shri Atal Bihari Vajpayee Ekana Cricket Stadium, Lucknow</c:v>
                </c:pt>
                <c:pt idx="4">
                  <c:v>Wankhede Stadium, Mumbai</c:v>
                </c:pt>
                <c:pt idx="5">
                  <c:v>Rajiv Gandhi International Stadium, Uppal, Hyderabad</c:v>
                </c:pt>
                <c:pt idx="6">
                  <c:v>Arun Jaitley Stadium, Delhi</c:v>
                </c:pt>
                <c:pt idx="7">
                  <c:v>Eden Gardens, Kolkata</c:v>
                </c:pt>
                <c:pt idx="8">
                  <c:v>MA Chidambaram Stadium, Chepauk, Chennai</c:v>
                </c:pt>
                <c:pt idx="9">
                  <c:v>Narendra Modi Stadium, Ahmedabad</c:v>
                </c:pt>
              </c:strCache>
            </c:strRef>
          </c:cat>
          <c:val>
            <c:numRef>
              <c:f>'Top 10 Venues'!$B$5:$B$15</c:f>
              <c:numCache>
                <c:formatCode>General</c:formatCode>
                <c:ptCount val="10"/>
                <c:pt idx="0">
                  <c:v>4</c:v>
                </c:pt>
                <c:pt idx="3">
                  <c:v>3</c:v>
                </c:pt>
                <c:pt idx="4">
                  <c:v>1</c:v>
                </c:pt>
                <c:pt idx="5">
                  <c:v>3</c:v>
                </c:pt>
                <c:pt idx="6">
                  <c:v>3</c:v>
                </c:pt>
                <c:pt idx="7">
                  <c:v>1</c:v>
                </c:pt>
                <c:pt idx="8">
                  <c:v>4</c:v>
                </c:pt>
                <c:pt idx="9">
                  <c:v>2</c:v>
                </c:pt>
              </c:numCache>
            </c:numRef>
          </c:val>
          <c:extLst>
            <c:ext xmlns:c16="http://schemas.microsoft.com/office/drawing/2014/chart" uri="{C3380CC4-5D6E-409C-BE32-E72D297353CC}">
              <c16:uniqueId val="{00000000-AD63-9E43-BBF0-F5922D5A843A}"/>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Sawai Mansingh Stadium, Jaipur</c:v>
                </c:pt>
                <c:pt idx="1">
                  <c:v>Punjab Cricket Association IS Bindra Stadium, Mohali, Chandigarh</c:v>
                </c:pt>
                <c:pt idx="2">
                  <c:v>M Chinnaswamy Stadium, Bengaluru</c:v>
                </c:pt>
                <c:pt idx="3">
                  <c:v>Bharat Ratna Shri Atal Bihari Vajpayee Ekana Cricket Stadium, Lucknow</c:v>
                </c:pt>
                <c:pt idx="4">
                  <c:v>Wankhede Stadium, Mumbai</c:v>
                </c:pt>
                <c:pt idx="5">
                  <c:v>Rajiv Gandhi International Stadium, Uppal, Hyderabad</c:v>
                </c:pt>
                <c:pt idx="6">
                  <c:v>Arun Jaitley Stadium, Delhi</c:v>
                </c:pt>
                <c:pt idx="7">
                  <c:v>Eden Gardens, Kolkata</c:v>
                </c:pt>
                <c:pt idx="8">
                  <c:v>MA Chidambaram Stadium, Chepauk, Chennai</c:v>
                </c:pt>
                <c:pt idx="9">
                  <c:v>Narendra Modi Stadium, Ahmedabad</c:v>
                </c:pt>
              </c:strCache>
            </c:strRef>
          </c:cat>
          <c:val>
            <c:numRef>
              <c:f>'Top 10 Venues'!$C$5:$C$15</c:f>
              <c:numCache>
                <c:formatCode>General</c:formatCode>
                <c:ptCount val="10"/>
                <c:pt idx="0">
                  <c:v>1</c:v>
                </c:pt>
                <c:pt idx="1">
                  <c:v>5</c:v>
                </c:pt>
                <c:pt idx="2">
                  <c:v>7</c:v>
                </c:pt>
                <c:pt idx="3">
                  <c:v>4</c:v>
                </c:pt>
                <c:pt idx="4">
                  <c:v>6</c:v>
                </c:pt>
                <c:pt idx="5">
                  <c:v>4</c:v>
                </c:pt>
                <c:pt idx="6">
                  <c:v>4</c:v>
                </c:pt>
                <c:pt idx="7">
                  <c:v>6</c:v>
                </c:pt>
                <c:pt idx="8">
                  <c:v>5</c:v>
                </c:pt>
                <c:pt idx="9">
                  <c:v>7</c:v>
                </c:pt>
              </c:numCache>
            </c:numRef>
          </c:val>
          <c:extLst>
            <c:ext xmlns:c16="http://schemas.microsoft.com/office/drawing/2014/chart" uri="{C3380CC4-5D6E-409C-BE32-E72D297353CC}">
              <c16:uniqueId val="{00000001-AD63-9E43-BBF0-F5922D5A843A}"/>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Shubman Gill</c:v>
                </c:pt>
                <c:pt idx="1">
                  <c:v>YBK Jaiswal</c:v>
                </c:pt>
                <c:pt idx="2">
                  <c:v>MP Stoinis</c:v>
                </c:pt>
                <c:pt idx="3">
                  <c:v>DP Conway</c:v>
                </c:pt>
                <c:pt idx="4">
                  <c:v>RA Jadeja</c:v>
                </c:pt>
                <c:pt idx="5">
                  <c:v>F du Plessis</c:v>
                </c:pt>
                <c:pt idx="6">
                  <c:v>RK Singh</c:v>
                </c:pt>
                <c:pt idx="7">
                  <c:v>MM Sharma</c:v>
                </c:pt>
                <c:pt idx="8">
                  <c:v>N Pooran</c:v>
                </c:pt>
                <c:pt idx="9">
                  <c:v>SA Yadav</c:v>
                </c:pt>
              </c:strCache>
            </c:strRef>
          </c:cat>
          <c:val>
            <c:numRef>
              <c:f>MOM!$E$4:$E$13</c:f>
              <c:numCache>
                <c:formatCode>General</c:formatCode>
                <c:ptCount val="10"/>
                <c:pt idx="0">
                  <c:v>4</c:v>
                </c:pt>
                <c:pt idx="1">
                  <c:v>4</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8AEF-484C-BA6A-774E4613F518}"/>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toss won</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Team'!$A$5:$A$16</c:f>
              <c:strCache>
                <c:ptCount val="11"/>
                <c:pt idx="0">
                  <c:v>Gujarat Titans</c:v>
                </c:pt>
                <c:pt idx="1">
                  <c:v>Chennai Super Kings</c:v>
                </c:pt>
                <c:pt idx="2">
                  <c:v>Mumbai Indians</c:v>
                </c:pt>
                <c:pt idx="3">
                  <c:v>Lucknow Super Giants</c:v>
                </c:pt>
                <c:pt idx="4">
                  <c:v>Royal Challengers Bangalore</c:v>
                </c:pt>
                <c:pt idx="5">
                  <c:v>Rajasthan Royals</c:v>
                </c:pt>
                <c:pt idx="6">
                  <c:v>Punjab Kings</c:v>
                </c:pt>
                <c:pt idx="7">
                  <c:v>Kolkata Knight Riders</c:v>
                </c:pt>
                <c:pt idx="8">
                  <c:v>Delhi Capitals</c:v>
                </c:pt>
                <c:pt idx="9">
                  <c:v>Sunrisers Hyderabad</c:v>
                </c:pt>
                <c:pt idx="10">
                  <c:v>NA</c:v>
                </c:pt>
              </c:strCache>
            </c:strRef>
          </c:cat>
          <c:val>
            <c:numRef>
              <c:f>'Matches win by Team'!$B$5:$B$16</c:f>
              <c:numCache>
                <c:formatCode>General</c:formatCode>
                <c:ptCount val="11"/>
                <c:pt idx="0">
                  <c:v>2</c:v>
                </c:pt>
                <c:pt idx="1">
                  <c:v>2</c:v>
                </c:pt>
                <c:pt idx="2">
                  <c:v>2</c:v>
                </c:pt>
                <c:pt idx="3">
                  <c:v>2</c:v>
                </c:pt>
                <c:pt idx="4">
                  <c:v>2</c:v>
                </c:pt>
                <c:pt idx="5">
                  <c:v>1</c:v>
                </c:pt>
                <c:pt idx="6">
                  <c:v>1</c:v>
                </c:pt>
                <c:pt idx="7">
                  <c:v>4</c:v>
                </c:pt>
                <c:pt idx="8">
                  <c:v>3</c:v>
                </c:pt>
                <c:pt idx="9">
                  <c:v>2</c:v>
                </c:pt>
              </c:numCache>
            </c:numRef>
          </c:val>
          <c:extLst>
            <c:ext xmlns:c16="http://schemas.microsoft.com/office/drawing/2014/chart" uri="{C3380CC4-5D6E-409C-BE32-E72D297353CC}">
              <c16:uniqueId val="{00000000-5DBE-4B48-AEA9-78E99F94BEEB}"/>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Team'!$A$5:$A$16</c:f>
              <c:strCache>
                <c:ptCount val="11"/>
                <c:pt idx="0">
                  <c:v>Gujarat Titans</c:v>
                </c:pt>
                <c:pt idx="1">
                  <c:v>Chennai Super Kings</c:v>
                </c:pt>
                <c:pt idx="2">
                  <c:v>Mumbai Indians</c:v>
                </c:pt>
                <c:pt idx="3">
                  <c:v>Lucknow Super Giants</c:v>
                </c:pt>
                <c:pt idx="4">
                  <c:v>Royal Challengers Bangalore</c:v>
                </c:pt>
                <c:pt idx="5">
                  <c:v>Rajasthan Royals</c:v>
                </c:pt>
                <c:pt idx="6">
                  <c:v>Punjab Kings</c:v>
                </c:pt>
                <c:pt idx="7">
                  <c:v>Kolkata Knight Riders</c:v>
                </c:pt>
                <c:pt idx="8">
                  <c:v>Delhi Capitals</c:v>
                </c:pt>
                <c:pt idx="9">
                  <c:v>Sunrisers Hyderabad</c:v>
                </c:pt>
                <c:pt idx="10">
                  <c:v>NA</c:v>
                </c:pt>
              </c:strCache>
            </c:strRef>
          </c:cat>
          <c:val>
            <c:numRef>
              <c:f>'Matches win by Team'!$C$5:$C$16</c:f>
              <c:numCache>
                <c:formatCode>General</c:formatCode>
                <c:ptCount val="11"/>
                <c:pt idx="0">
                  <c:v>9</c:v>
                </c:pt>
                <c:pt idx="1">
                  <c:v>8</c:v>
                </c:pt>
                <c:pt idx="2">
                  <c:v>7</c:v>
                </c:pt>
                <c:pt idx="3">
                  <c:v>6</c:v>
                </c:pt>
                <c:pt idx="4">
                  <c:v>5</c:v>
                </c:pt>
                <c:pt idx="5">
                  <c:v>6</c:v>
                </c:pt>
                <c:pt idx="6">
                  <c:v>5</c:v>
                </c:pt>
                <c:pt idx="7">
                  <c:v>2</c:v>
                </c:pt>
                <c:pt idx="8">
                  <c:v>2</c:v>
                </c:pt>
                <c:pt idx="9">
                  <c:v>2</c:v>
                </c:pt>
                <c:pt idx="10">
                  <c:v>1</c:v>
                </c:pt>
              </c:numCache>
            </c:numRef>
          </c:val>
          <c:extLst>
            <c:ext xmlns:c16="http://schemas.microsoft.com/office/drawing/2014/chart" uri="{C3380CC4-5D6E-409C-BE32-E72D297353CC}">
              <c16:uniqueId val="{00000001-5DBE-4B48-AEA9-78E99F94BEEB}"/>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Decision!Toss Decision</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645251202006829"/>
          <c:y val="0.27510701263013265"/>
          <c:w val="0.62485088147167445"/>
          <c:h val="0.4738801986999947"/>
        </c:manualLayout>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61-8F4C-9ECB-D5AF463FD04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61-8F4C-9ECB-D5AF463FD0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21</c:v>
                </c:pt>
                <c:pt idx="1">
                  <c:v>53</c:v>
                </c:pt>
              </c:numCache>
            </c:numRef>
          </c:val>
          <c:extLst>
            <c:ext xmlns:c16="http://schemas.microsoft.com/office/drawing/2014/chart" uri="{C3380CC4-5D6E-409C-BE32-E72D297353CC}">
              <c16:uniqueId val="{00000004-2261-8F4C-9ECB-D5AF463FD0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226917984809423"/>
          <c:y val="0.86692860540083494"/>
          <c:w val="0.42684586439969346"/>
          <c:h val="9.56056122179358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Venues!Top 10 Venues</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Sawai Mansingh Stadium, Jaipur</c:v>
                </c:pt>
                <c:pt idx="1">
                  <c:v>Punjab Cricket Association IS Bindra Stadium, Mohali, Chandigarh</c:v>
                </c:pt>
                <c:pt idx="2">
                  <c:v>M Chinnaswamy Stadium, Bengaluru</c:v>
                </c:pt>
                <c:pt idx="3">
                  <c:v>Bharat Ratna Shri Atal Bihari Vajpayee Ekana Cricket Stadium, Lucknow</c:v>
                </c:pt>
                <c:pt idx="4">
                  <c:v>Wankhede Stadium, Mumbai</c:v>
                </c:pt>
                <c:pt idx="5">
                  <c:v>Rajiv Gandhi International Stadium, Uppal, Hyderabad</c:v>
                </c:pt>
                <c:pt idx="6">
                  <c:v>Arun Jaitley Stadium, Delhi</c:v>
                </c:pt>
                <c:pt idx="7">
                  <c:v>Eden Gardens, Kolkata</c:v>
                </c:pt>
                <c:pt idx="8">
                  <c:v>MA Chidambaram Stadium, Chepauk, Chennai</c:v>
                </c:pt>
                <c:pt idx="9">
                  <c:v>Narendra Modi Stadium, Ahmedabad</c:v>
                </c:pt>
              </c:strCache>
            </c:strRef>
          </c:cat>
          <c:val>
            <c:numRef>
              <c:f>'Top 10 Venues'!$B$5:$B$15</c:f>
              <c:numCache>
                <c:formatCode>General</c:formatCode>
                <c:ptCount val="10"/>
                <c:pt idx="0">
                  <c:v>4</c:v>
                </c:pt>
                <c:pt idx="3">
                  <c:v>3</c:v>
                </c:pt>
                <c:pt idx="4">
                  <c:v>1</c:v>
                </c:pt>
                <c:pt idx="5">
                  <c:v>3</c:v>
                </c:pt>
                <c:pt idx="6">
                  <c:v>3</c:v>
                </c:pt>
                <c:pt idx="7">
                  <c:v>1</c:v>
                </c:pt>
                <c:pt idx="8">
                  <c:v>4</c:v>
                </c:pt>
                <c:pt idx="9">
                  <c:v>2</c:v>
                </c:pt>
              </c:numCache>
            </c:numRef>
          </c:val>
          <c:extLst>
            <c:ext xmlns:c16="http://schemas.microsoft.com/office/drawing/2014/chart" uri="{C3380CC4-5D6E-409C-BE32-E72D297353CC}">
              <c16:uniqueId val="{00000000-95AF-FA44-AFD7-DB37EEE04ECB}"/>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Sawai Mansingh Stadium, Jaipur</c:v>
                </c:pt>
                <c:pt idx="1">
                  <c:v>Punjab Cricket Association IS Bindra Stadium, Mohali, Chandigarh</c:v>
                </c:pt>
                <c:pt idx="2">
                  <c:v>M Chinnaswamy Stadium, Bengaluru</c:v>
                </c:pt>
                <c:pt idx="3">
                  <c:v>Bharat Ratna Shri Atal Bihari Vajpayee Ekana Cricket Stadium, Lucknow</c:v>
                </c:pt>
                <c:pt idx="4">
                  <c:v>Wankhede Stadium, Mumbai</c:v>
                </c:pt>
                <c:pt idx="5">
                  <c:v>Rajiv Gandhi International Stadium, Uppal, Hyderabad</c:v>
                </c:pt>
                <c:pt idx="6">
                  <c:v>Arun Jaitley Stadium, Delhi</c:v>
                </c:pt>
                <c:pt idx="7">
                  <c:v>Eden Gardens, Kolkata</c:v>
                </c:pt>
                <c:pt idx="8">
                  <c:v>MA Chidambaram Stadium, Chepauk, Chennai</c:v>
                </c:pt>
                <c:pt idx="9">
                  <c:v>Narendra Modi Stadium, Ahmedabad</c:v>
                </c:pt>
              </c:strCache>
            </c:strRef>
          </c:cat>
          <c:val>
            <c:numRef>
              <c:f>'Top 10 Venues'!$C$5:$C$15</c:f>
              <c:numCache>
                <c:formatCode>General</c:formatCode>
                <c:ptCount val="10"/>
                <c:pt idx="0">
                  <c:v>1</c:v>
                </c:pt>
                <c:pt idx="1">
                  <c:v>5</c:v>
                </c:pt>
                <c:pt idx="2">
                  <c:v>7</c:v>
                </c:pt>
                <c:pt idx="3">
                  <c:v>4</c:v>
                </c:pt>
                <c:pt idx="4">
                  <c:v>6</c:v>
                </c:pt>
                <c:pt idx="5">
                  <c:v>4</c:v>
                </c:pt>
                <c:pt idx="6">
                  <c:v>4</c:v>
                </c:pt>
                <c:pt idx="7">
                  <c:v>6</c:v>
                </c:pt>
                <c:pt idx="8">
                  <c:v>5</c:v>
                </c:pt>
                <c:pt idx="9">
                  <c:v>7</c:v>
                </c:pt>
              </c:numCache>
            </c:numRef>
          </c:val>
          <c:extLst>
            <c:ext xmlns:c16="http://schemas.microsoft.com/office/drawing/2014/chart" uri="{C3380CC4-5D6E-409C-BE32-E72D297353CC}">
              <c16:uniqueId val="{00000001-95AF-FA44-AFD7-DB37EEE04ECB}"/>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Shubman Gill</c:v>
                </c:pt>
                <c:pt idx="1">
                  <c:v>YBK Jaiswal</c:v>
                </c:pt>
                <c:pt idx="2">
                  <c:v>MP Stoinis</c:v>
                </c:pt>
                <c:pt idx="3">
                  <c:v>DP Conway</c:v>
                </c:pt>
                <c:pt idx="4">
                  <c:v>RA Jadeja</c:v>
                </c:pt>
                <c:pt idx="5">
                  <c:v>F du Plessis</c:v>
                </c:pt>
                <c:pt idx="6">
                  <c:v>RK Singh</c:v>
                </c:pt>
                <c:pt idx="7">
                  <c:v>MM Sharma</c:v>
                </c:pt>
                <c:pt idx="8">
                  <c:v>N Pooran</c:v>
                </c:pt>
                <c:pt idx="9">
                  <c:v>SA Yadav</c:v>
                </c:pt>
              </c:strCache>
            </c:strRef>
          </c:cat>
          <c:val>
            <c:numRef>
              <c:f>MOM!$E$4:$E$13</c:f>
              <c:numCache>
                <c:formatCode>General</c:formatCode>
                <c:ptCount val="10"/>
                <c:pt idx="0">
                  <c:v>4</c:v>
                </c:pt>
                <c:pt idx="1">
                  <c:v>4</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191C-3C43-AA57-8E9D2FABD2F0}"/>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_xlchart.v1.1</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_xlchart.v1.4</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207432</xdr:colOff>
      <xdr:row>2</xdr:row>
      <xdr:rowOff>198966</xdr:rowOff>
    </xdr:from>
    <xdr:to>
      <xdr:col>12</xdr:col>
      <xdr:colOff>423333</xdr:colOff>
      <xdr:row>21</xdr:row>
      <xdr:rowOff>126999</xdr:rowOff>
    </xdr:to>
    <xdr:graphicFrame macro="">
      <xdr:nvGraphicFramePr>
        <xdr:cNvPr id="2" name="Chart 1">
          <a:extLst>
            <a:ext uri="{FF2B5EF4-FFF2-40B4-BE49-F238E27FC236}">
              <a16:creationId xmlns:a16="http://schemas.microsoft.com/office/drawing/2014/main" id="{A270338D-F841-20F7-6F74-048BF092F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5</xdr:row>
      <xdr:rowOff>177800</xdr:rowOff>
    </xdr:from>
    <xdr:to>
      <xdr:col>8</xdr:col>
      <xdr:colOff>641350</xdr:colOff>
      <xdr:row>19</xdr:row>
      <xdr:rowOff>76200</xdr:rowOff>
    </xdr:to>
    <xdr:graphicFrame macro="">
      <xdr:nvGraphicFramePr>
        <xdr:cNvPr id="2" name="Chart 1">
          <a:extLst>
            <a:ext uri="{FF2B5EF4-FFF2-40B4-BE49-F238E27FC236}">
              <a16:creationId xmlns:a16="http://schemas.microsoft.com/office/drawing/2014/main" id="{B109025C-624D-1BCC-6702-722CF52C2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685800</xdr:colOff>
      <xdr:row>3</xdr:row>
      <xdr:rowOff>127000</xdr:rowOff>
    </xdr:from>
    <xdr:to>
      <xdr:col>10</xdr:col>
      <xdr:colOff>1054100</xdr:colOff>
      <xdr:row>36</xdr:row>
      <xdr:rowOff>12700</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05D4FE76-74AC-48F8-7768-198C2F1698D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391900" y="736600"/>
              <a:ext cx="1828800" cy="6591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xdr:colOff>
      <xdr:row>4</xdr:row>
      <xdr:rowOff>38100</xdr:rowOff>
    </xdr:from>
    <xdr:to>
      <xdr:col>9</xdr:col>
      <xdr:colOff>482600</xdr:colOff>
      <xdr:row>37</xdr:row>
      <xdr:rowOff>101600</xdr:rowOff>
    </xdr:to>
    <xdr:graphicFrame macro="">
      <xdr:nvGraphicFramePr>
        <xdr:cNvPr id="3" name="Chart 2">
          <a:extLst>
            <a:ext uri="{FF2B5EF4-FFF2-40B4-BE49-F238E27FC236}">
              <a16:creationId xmlns:a16="http://schemas.microsoft.com/office/drawing/2014/main" id="{9964FAF6-69AC-5174-DB58-DB8B7498D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509104</xdr:colOff>
      <xdr:row>1</xdr:row>
      <xdr:rowOff>99390</xdr:rowOff>
    </xdr:from>
    <xdr:to>
      <xdr:col>11</xdr:col>
      <xdr:colOff>681384</xdr:colOff>
      <xdr:row>35</xdr:row>
      <xdr:rowOff>176695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0F837313-D222-3354-8A62-C671C480E2BA}"/>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575800" y="298173"/>
              <a:ext cx="1828800" cy="68359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1325217</xdr:colOff>
      <xdr:row>15</xdr:row>
      <xdr:rowOff>102704</xdr:rowOff>
    </xdr:from>
    <xdr:to>
      <xdr:col>8</xdr:col>
      <xdr:colOff>132522</xdr:colOff>
      <xdr:row>29</xdr:row>
      <xdr:rowOff>62947</xdr:rowOff>
    </xdr:to>
    <xdr:graphicFrame macro="">
      <xdr:nvGraphicFramePr>
        <xdr:cNvPr id="3" name="Chart 2">
          <a:extLst>
            <a:ext uri="{FF2B5EF4-FFF2-40B4-BE49-F238E27FC236}">
              <a16:creationId xmlns:a16="http://schemas.microsoft.com/office/drawing/2014/main" id="{143A58AB-8F0A-4389-7079-9DBE97665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1295400</xdr:colOff>
      <xdr:row>14</xdr:row>
      <xdr:rowOff>63500</xdr:rowOff>
    </xdr:from>
    <xdr:to>
      <xdr:col>8</xdr:col>
      <xdr:colOff>374650</xdr:colOff>
      <xdr:row>38</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8870CD9-9218-35EB-A3C7-D171FFCAFE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5400" y="2837180"/>
              <a:ext cx="8230870" cy="4780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609600</xdr:colOff>
      <xdr:row>8</xdr:row>
      <xdr:rowOff>177800</xdr:rowOff>
    </xdr:from>
    <xdr:to>
      <xdr:col>9</xdr:col>
      <xdr:colOff>12699</xdr:colOff>
      <xdr:row>36</xdr:row>
      <xdr:rowOff>66672</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9F149213-78AA-5EE4-9EC2-7FBD36658ED8}"/>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427128" y="1790272"/>
              <a:ext cx="1828943" cy="55824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431800</xdr:colOff>
      <xdr:row>1</xdr:row>
      <xdr:rowOff>127000</xdr:rowOff>
    </xdr:from>
    <xdr:to>
      <xdr:col>4</xdr:col>
      <xdr:colOff>406400</xdr:colOff>
      <xdr:row>6</xdr:row>
      <xdr:rowOff>177800</xdr:rowOff>
    </xdr:to>
    <xdr:sp macro="" textlink="">
      <xdr:nvSpPr>
        <xdr:cNvPr id="2" name="Rounded Rectangle 1">
          <a:extLst>
            <a:ext uri="{FF2B5EF4-FFF2-40B4-BE49-F238E27FC236}">
              <a16:creationId xmlns:a16="http://schemas.microsoft.com/office/drawing/2014/main" id="{3DA357EC-4D03-364A-6E01-9576A4D6ED8A}"/>
            </a:ext>
          </a:extLst>
        </xdr:cNvPr>
        <xdr:cNvSpPr/>
      </xdr:nvSpPr>
      <xdr:spPr>
        <a:xfrm>
          <a:off x="431800" y="330200"/>
          <a:ext cx="3276600" cy="10668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600" b="1">
              <a:latin typeface="Hiragino Kaku Gothic Std W8" panose="020B0800000000000000" pitchFamily="34" charset="-128"/>
              <a:ea typeface="Hiragino Kaku Gothic Std W8" panose="020B0800000000000000" pitchFamily="34" charset="-128"/>
            </a:rPr>
            <a:t>IPL DATA ANALYSIS</a:t>
          </a:r>
          <a:r>
            <a:rPr lang="en-GB" sz="1600" b="1" baseline="0">
              <a:latin typeface="Hiragino Kaku Gothic Std W8" panose="020B0800000000000000" pitchFamily="34" charset="-128"/>
              <a:ea typeface="Hiragino Kaku Gothic Std W8" panose="020B0800000000000000" pitchFamily="34" charset="-128"/>
            </a:rPr>
            <a:t> </a:t>
          </a:r>
        </a:p>
        <a:p>
          <a:pPr algn="ctr"/>
          <a:r>
            <a:rPr lang="en-GB" sz="1600" b="1" baseline="0">
              <a:latin typeface="Hiragino Kaku Gothic Std W8" panose="020B0800000000000000" pitchFamily="34" charset="-128"/>
              <a:ea typeface="Hiragino Kaku Gothic Std W8" panose="020B0800000000000000" pitchFamily="34" charset="-128"/>
            </a:rPr>
            <a:t>2008 - 20225</a:t>
          </a:r>
          <a:endParaRPr lang="en-GB" sz="1600" b="1">
            <a:latin typeface="Hiragino Kaku Gothic Std W8" panose="020B0800000000000000" pitchFamily="34" charset="-128"/>
            <a:ea typeface="Hiragino Kaku Gothic Std W8" panose="020B0800000000000000" pitchFamily="34" charset="-128"/>
          </a:endParaRPr>
        </a:p>
      </xdr:txBody>
    </xdr:sp>
    <xdr:clientData/>
  </xdr:twoCellAnchor>
  <xdr:twoCellAnchor>
    <xdr:from>
      <xdr:col>4</xdr:col>
      <xdr:colOff>787400</xdr:colOff>
      <xdr:row>1</xdr:row>
      <xdr:rowOff>177800</xdr:rowOff>
    </xdr:from>
    <xdr:to>
      <xdr:col>7</xdr:col>
      <xdr:colOff>241300</xdr:colOff>
      <xdr:row>4</xdr:row>
      <xdr:rowOff>139700</xdr:rowOff>
    </xdr:to>
    <xdr:sp macro="" textlink="KPi!E5">
      <xdr:nvSpPr>
        <xdr:cNvPr id="3" name="Pentagon 2">
          <a:extLst>
            <a:ext uri="{FF2B5EF4-FFF2-40B4-BE49-F238E27FC236}">
              <a16:creationId xmlns:a16="http://schemas.microsoft.com/office/drawing/2014/main" id="{30A2C472-588E-9DAC-FD5B-F801AB79730D}"/>
            </a:ext>
          </a:extLst>
        </xdr:cNvPr>
        <xdr:cNvSpPr/>
      </xdr:nvSpPr>
      <xdr:spPr>
        <a:xfrm>
          <a:off x="40894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947D219F-CB0D-1D4A-BFA1-DA75915FA3AB}" type="TxLink">
            <a:rPr lang="en-US" sz="1800" b="1" i="0" u="none" strike="noStrike">
              <a:solidFill>
                <a:srgbClr val="FFFFFF"/>
              </a:solidFill>
              <a:latin typeface="__Roboto_Flex_1e8c78"/>
            </a:rPr>
            <a:pPr algn="ctr"/>
            <a:t>Year</a:t>
          </a:fld>
          <a:endParaRPr lang="en-GB" sz="1600" b="1"/>
        </a:p>
      </xdr:txBody>
    </xdr:sp>
    <xdr:clientData/>
  </xdr:twoCellAnchor>
  <xdr:twoCellAnchor>
    <xdr:from>
      <xdr:col>5</xdr:col>
      <xdr:colOff>393700</xdr:colOff>
      <xdr:row>3</xdr:row>
      <xdr:rowOff>177800</xdr:rowOff>
    </xdr:from>
    <xdr:to>
      <xdr:col>7</xdr:col>
      <xdr:colOff>457200</xdr:colOff>
      <xdr:row>6</xdr:row>
      <xdr:rowOff>139700</xdr:rowOff>
    </xdr:to>
    <xdr:sp macro="" textlink="KPi!E6">
      <xdr:nvSpPr>
        <xdr:cNvPr id="4" name="Rounded Rectangle 3">
          <a:extLst>
            <a:ext uri="{FF2B5EF4-FFF2-40B4-BE49-F238E27FC236}">
              <a16:creationId xmlns:a16="http://schemas.microsoft.com/office/drawing/2014/main" id="{75BA6858-77FB-097E-14F9-C6266D054DAD}"/>
            </a:ext>
          </a:extLst>
        </xdr:cNvPr>
        <xdr:cNvSpPr/>
      </xdr:nvSpPr>
      <xdr:spPr>
        <a:xfrm>
          <a:off x="45212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B31B1F0-6D19-E545-8ED6-FEF82D944525}" type="TxLink">
            <a:rPr lang="en-US" sz="2000" b="0" i="0" u="none" strike="noStrike">
              <a:solidFill>
                <a:srgbClr val="000000"/>
              </a:solidFill>
              <a:latin typeface="Calibri"/>
              <a:cs typeface="Calibri"/>
            </a:rPr>
            <a:pPr algn="ctr"/>
            <a:t>IPL-2023</a:t>
          </a:fld>
          <a:endParaRPr lang="en-GB" sz="1800"/>
        </a:p>
      </xdr:txBody>
    </xdr:sp>
    <xdr:clientData/>
  </xdr:twoCellAnchor>
  <xdr:twoCellAnchor>
    <xdr:from>
      <xdr:col>8</xdr:col>
      <xdr:colOff>0</xdr:colOff>
      <xdr:row>1</xdr:row>
      <xdr:rowOff>177800</xdr:rowOff>
    </xdr:from>
    <xdr:to>
      <xdr:col>10</xdr:col>
      <xdr:colOff>279400</xdr:colOff>
      <xdr:row>4</xdr:row>
      <xdr:rowOff>139700</xdr:rowOff>
    </xdr:to>
    <xdr:sp macro="" textlink="">
      <xdr:nvSpPr>
        <xdr:cNvPr id="5" name="Pentagon 4">
          <a:extLst>
            <a:ext uri="{FF2B5EF4-FFF2-40B4-BE49-F238E27FC236}">
              <a16:creationId xmlns:a16="http://schemas.microsoft.com/office/drawing/2014/main" id="{17F227ED-CFFD-910A-33BD-7D44A519E8EE}"/>
            </a:ext>
          </a:extLst>
        </xdr:cNvPr>
        <xdr:cNvSpPr/>
      </xdr:nvSpPr>
      <xdr:spPr>
        <a:xfrm>
          <a:off x="66040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t>WINNER</a:t>
          </a:r>
        </a:p>
      </xdr:txBody>
    </xdr:sp>
    <xdr:clientData/>
  </xdr:twoCellAnchor>
  <xdr:twoCellAnchor>
    <xdr:from>
      <xdr:col>8</xdr:col>
      <xdr:colOff>431800</xdr:colOff>
      <xdr:row>3</xdr:row>
      <xdr:rowOff>177800</xdr:rowOff>
    </xdr:from>
    <xdr:to>
      <xdr:col>10</xdr:col>
      <xdr:colOff>495300</xdr:colOff>
      <xdr:row>6</xdr:row>
      <xdr:rowOff>139700</xdr:rowOff>
    </xdr:to>
    <xdr:sp macro="" textlink="KPi!F6">
      <xdr:nvSpPr>
        <xdr:cNvPr id="6" name="Rounded Rectangle 5">
          <a:extLst>
            <a:ext uri="{FF2B5EF4-FFF2-40B4-BE49-F238E27FC236}">
              <a16:creationId xmlns:a16="http://schemas.microsoft.com/office/drawing/2014/main" id="{D1926DEC-D9E6-B0F4-5212-224FCDFF380F}"/>
            </a:ext>
          </a:extLst>
        </xdr:cNvPr>
        <xdr:cNvSpPr/>
      </xdr:nvSpPr>
      <xdr:spPr>
        <a:xfrm>
          <a:off x="70358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B5C2996-E4F7-D449-A1F3-33B55D6E3C20}" type="TxLink">
            <a:rPr lang="en-US" sz="1600" b="0" i="0" u="none" strike="noStrike">
              <a:solidFill>
                <a:srgbClr val="000000"/>
              </a:solidFill>
              <a:latin typeface="Calibri"/>
              <a:cs typeface="Calibri"/>
            </a:rPr>
            <a:pPr algn="ctr"/>
            <a:t>Chennai Super Kings</a:t>
          </a:fld>
          <a:endParaRPr lang="en-GB" sz="1400"/>
        </a:p>
      </xdr:txBody>
    </xdr:sp>
    <xdr:clientData/>
  </xdr:twoCellAnchor>
  <xdr:twoCellAnchor>
    <xdr:from>
      <xdr:col>11</xdr:col>
      <xdr:colOff>38100</xdr:colOff>
      <xdr:row>1</xdr:row>
      <xdr:rowOff>177800</xdr:rowOff>
    </xdr:from>
    <xdr:to>
      <xdr:col>13</xdr:col>
      <xdr:colOff>317500</xdr:colOff>
      <xdr:row>4</xdr:row>
      <xdr:rowOff>139700</xdr:rowOff>
    </xdr:to>
    <xdr:sp macro="" textlink="">
      <xdr:nvSpPr>
        <xdr:cNvPr id="7" name="Pentagon 6">
          <a:extLst>
            <a:ext uri="{FF2B5EF4-FFF2-40B4-BE49-F238E27FC236}">
              <a16:creationId xmlns:a16="http://schemas.microsoft.com/office/drawing/2014/main" id="{C10CD2CE-C7F0-32CB-F58E-08FB30686C00}"/>
            </a:ext>
          </a:extLst>
        </xdr:cNvPr>
        <xdr:cNvSpPr/>
      </xdr:nvSpPr>
      <xdr:spPr>
        <a:xfrm>
          <a:off x="91186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800" b="1"/>
            <a:t>RUNNER-UP</a:t>
          </a:r>
        </a:p>
      </xdr:txBody>
    </xdr:sp>
    <xdr:clientData/>
  </xdr:twoCellAnchor>
  <xdr:twoCellAnchor>
    <xdr:from>
      <xdr:col>11</xdr:col>
      <xdr:colOff>469900</xdr:colOff>
      <xdr:row>3</xdr:row>
      <xdr:rowOff>177800</xdr:rowOff>
    </xdr:from>
    <xdr:to>
      <xdr:col>13</xdr:col>
      <xdr:colOff>533400</xdr:colOff>
      <xdr:row>6</xdr:row>
      <xdr:rowOff>139700</xdr:rowOff>
    </xdr:to>
    <xdr:sp macro="" textlink="KPi!G6">
      <xdr:nvSpPr>
        <xdr:cNvPr id="8" name="Rounded Rectangle 7">
          <a:extLst>
            <a:ext uri="{FF2B5EF4-FFF2-40B4-BE49-F238E27FC236}">
              <a16:creationId xmlns:a16="http://schemas.microsoft.com/office/drawing/2014/main" id="{6937239A-EE9E-BED8-EFEF-CBDAEC02B782}"/>
            </a:ext>
          </a:extLst>
        </xdr:cNvPr>
        <xdr:cNvSpPr/>
      </xdr:nvSpPr>
      <xdr:spPr>
        <a:xfrm>
          <a:off x="95504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91AD778-F53E-FB4B-8AA9-2B12FE56DBF0}" type="TxLink">
            <a:rPr lang="en-US" sz="1400" b="0" i="0" u="none" strike="noStrike">
              <a:solidFill>
                <a:srgbClr val="000000"/>
              </a:solidFill>
              <a:latin typeface="Calibri"/>
              <a:cs typeface="Calibri"/>
            </a:rPr>
            <a:pPr algn="l"/>
            <a:t>Gujarat Titans</a:t>
          </a:fld>
          <a:endParaRPr lang="en-GB" sz="1200"/>
        </a:p>
      </xdr:txBody>
    </xdr:sp>
    <xdr:clientData/>
  </xdr:twoCellAnchor>
  <xdr:twoCellAnchor>
    <xdr:from>
      <xdr:col>14</xdr:col>
      <xdr:colOff>76200</xdr:colOff>
      <xdr:row>1</xdr:row>
      <xdr:rowOff>177800</xdr:rowOff>
    </xdr:from>
    <xdr:to>
      <xdr:col>16</xdr:col>
      <xdr:colOff>355600</xdr:colOff>
      <xdr:row>4</xdr:row>
      <xdr:rowOff>139700</xdr:rowOff>
    </xdr:to>
    <xdr:sp macro="" textlink="">
      <xdr:nvSpPr>
        <xdr:cNvPr id="9" name="Pentagon 8">
          <a:extLst>
            <a:ext uri="{FF2B5EF4-FFF2-40B4-BE49-F238E27FC236}">
              <a16:creationId xmlns:a16="http://schemas.microsoft.com/office/drawing/2014/main" id="{5922503E-61C4-3D49-0533-AB0911472E5E}"/>
            </a:ext>
          </a:extLst>
        </xdr:cNvPr>
        <xdr:cNvSpPr/>
      </xdr:nvSpPr>
      <xdr:spPr>
        <a:xfrm>
          <a:off x="116332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400" b="1"/>
            <a:t>MAN OF</a:t>
          </a:r>
          <a:r>
            <a:rPr lang="en-GB" sz="1400" b="1" baseline="0"/>
            <a:t> THE SEASON</a:t>
          </a:r>
          <a:endParaRPr lang="en-GB" sz="1400" b="1"/>
        </a:p>
      </xdr:txBody>
    </xdr:sp>
    <xdr:clientData/>
  </xdr:twoCellAnchor>
  <xdr:twoCellAnchor>
    <xdr:from>
      <xdr:col>14</xdr:col>
      <xdr:colOff>508000</xdr:colOff>
      <xdr:row>3</xdr:row>
      <xdr:rowOff>177800</xdr:rowOff>
    </xdr:from>
    <xdr:to>
      <xdr:col>16</xdr:col>
      <xdr:colOff>571500</xdr:colOff>
      <xdr:row>6</xdr:row>
      <xdr:rowOff>139700</xdr:rowOff>
    </xdr:to>
    <xdr:sp macro="" textlink="KPi!H6">
      <xdr:nvSpPr>
        <xdr:cNvPr id="10" name="Rounded Rectangle 9">
          <a:extLst>
            <a:ext uri="{FF2B5EF4-FFF2-40B4-BE49-F238E27FC236}">
              <a16:creationId xmlns:a16="http://schemas.microsoft.com/office/drawing/2014/main" id="{44030CBB-11C6-5153-9CED-D441C07C64C1}"/>
            </a:ext>
          </a:extLst>
        </xdr:cNvPr>
        <xdr:cNvSpPr/>
      </xdr:nvSpPr>
      <xdr:spPr>
        <a:xfrm>
          <a:off x="120650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F1B75F4-E91F-B14D-9AA9-2F2971556CBF}" type="TxLink">
            <a:rPr lang="en-US" sz="1800" b="0" i="0" u="none" strike="noStrike">
              <a:solidFill>
                <a:srgbClr val="000000"/>
              </a:solidFill>
              <a:latin typeface="Calibri"/>
              <a:cs typeface="Calibri"/>
            </a:rPr>
            <a:pPr algn="l"/>
            <a:t>Shubman Gill</a:t>
          </a:fld>
          <a:endParaRPr lang="en-GB" sz="1600"/>
        </a:p>
      </xdr:txBody>
    </xdr:sp>
    <xdr:clientData/>
  </xdr:twoCellAnchor>
  <xdr:twoCellAnchor editAs="oneCell">
    <xdr:from>
      <xdr:col>0</xdr:col>
      <xdr:colOff>457200</xdr:colOff>
      <xdr:row>7</xdr:row>
      <xdr:rowOff>82826</xdr:rowOff>
    </xdr:from>
    <xdr:to>
      <xdr:col>18</xdr:col>
      <xdr:colOff>558800</xdr:colOff>
      <xdr:row>15</xdr:row>
      <xdr:rowOff>95526</xdr:rowOff>
    </xdr:to>
    <mc:AlternateContent xmlns:mc="http://schemas.openxmlformats.org/markup-compatibility/2006" xmlns:a14="http://schemas.microsoft.com/office/drawing/2010/main">
      <mc:Choice Requires="a14">
        <xdr:graphicFrame macro="">
          <xdr:nvGraphicFramePr>
            <xdr:cNvPr id="11" name="Season 3">
              <a:extLst>
                <a:ext uri="{FF2B5EF4-FFF2-40B4-BE49-F238E27FC236}">
                  <a16:creationId xmlns:a16="http://schemas.microsoft.com/office/drawing/2014/main" id="{0D5F4F82-450C-7F46-83F0-B7AE53C37CE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57200" y="1474304"/>
              <a:ext cx="15606643" cy="1602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444500</xdr:colOff>
      <xdr:row>15</xdr:row>
      <xdr:rowOff>127000</xdr:rowOff>
    </xdr:from>
    <xdr:to>
      <xdr:col>9</xdr:col>
      <xdr:colOff>279400</xdr:colOff>
      <xdr:row>34</xdr:row>
      <xdr:rowOff>76200</xdr:rowOff>
    </xdr:to>
    <xdr:graphicFrame macro="">
      <xdr:nvGraphicFramePr>
        <xdr:cNvPr id="12" name="Chart 11">
          <a:extLst>
            <a:ext uri="{FF2B5EF4-FFF2-40B4-BE49-F238E27FC236}">
              <a16:creationId xmlns:a16="http://schemas.microsoft.com/office/drawing/2014/main" id="{4EC7F505-020F-D04D-A8CA-DB75C091A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406400</xdr:colOff>
      <xdr:row>15</xdr:row>
      <xdr:rowOff>114300</xdr:rowOff>
    </xdr:from>
    <xdr:to>
      <xdr:col>12</xdr:col>
      <xdr:colOff>800100</xdr:colOff>
      <xdr:row>34</xdr:row>
      <xdr:rowOff>114300</xdr:rowOff>
    </xdr:to>
    <xdr:graphicFrame macro="">
      <xdr:nvGraphicFramePr>
        <xdr:cNvPr id="13" name="Chart 12">
          <a:extLst>
            <a:ext uri="{FF2B5EF4-FFF2-40B4-BE49-F238E27FC236}">
              <a16:creationId xmlns:a16="http://schemas.microsoft.com/office/drawing/2014/main" id="{4312C61A-80E3-184C-8846-B14FFBB3D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101600</xdr:colOff>
      <xdr:row>15</xdr:row>
      <xdr:rowOff>85034</xdr:rowOff>
    </xdr:from>
    <xdr:to>
      <xdr:col>18</xdr:col>
      <xdr:colOff>558800</xdr:colOff>
      <xdr:row>48</xdr:row>
      <xdr:rowOff>85034</xdr:rowOff>
    </xdr:to>
    <xdr:graphicFrame macro="">
      <xdr:nvGraphicFramePr>
        <xdr:cNvPr id="14" name="Chart 13">
          <a:extLst>
            <a:ext uri="{FF2B5EF4-FFF2-40B4-BE49-F238E27FC236}">
              <a16:creationId xmlns:a16="http://schemas.microsoft.com/office/drawing/2014/main" id="{6D358BC5-A97D-7D48-B403-84CC8BA7F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330200</xdr:colOff>
      <xdr:row>34</xdr:row>
      <xdr:rowOff>177800</xdr:rowOff>
    </xdr:from>
    <xdr:to>
      <xdr:col>12</xdr:col>
      <xdr:colOff>819427</xdr:colOff>
      <xdr:row>48</xdr:row>
      <xdr:rowOff>76200</xdr:rowOff>
    </xdr:to>
    <xdr:graphicFrame macro="">
      <xdr:nvGraphicFramePr>
        <xdr:cNvPr id="15" name="Chart 14">
          <a:extLst>
            <a:ext uri="{FF2B5EF4-FFF2-40B4-BE49-F238E27FC236}">
              <a16:creationId xmlns:a16="http://schemas.microsoft.com/office/drawing/2014/main" id="{EE5511B5-B156-F345-ABA6-3E753214E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35</xdr:row>
      <xdr:rowOff>50800</xdr:rowOff>
    </xdr:from>
    <xdr:to>
      <xdr:col>6</xdr:col>
      <xdr:colOff>228600</xdr:colOff>
      <xdr:row>48</xdr:row>
      <xdr:rowOff>76200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13E1FF9-67E7-1048-9159-AFDE36BBA8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9100" y="6985000"/>
              <a:ext cx="4930140" cy="2600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42271180554" createdVersion="8" refreshedVersion="8" minRefreshableVersion="3" recordCount="1169" xr:uid="{64073288-9234-F14F-88EC-70B5D2CD3251}">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726548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68898263892" createdVersion="8" refreshedVersion="8" minRefreshableVersion="3" recordCount="18" xr:uid="{E8D96CC1-F599-5B4E-A603-9DCDC6CE903E}">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EAC8B-8FE3-C843-B0C1-FAF9BB4C1758}" name="Matches toss wo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6"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x="2"/>
        <item h="1" x="1"/>
        <item h="1"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2">
    <i>
      <x v="5"/>
    </i>
    <i>
      <x/>
    </i>
    <i>
      <x v="10"/>
    </i>
    <i>
      <x v="9"/>
    </i>
    <i>
      <x v="17"/>
    </i>
    <i>
      <x v="14"/>
    </i>
    <i>
      <x v="13"/>
    </i>
    <i>
      <x v="8"/>
    </i>
    <i>
      <x v="2"/>
    </i>
    <i>
      <x v="19"/>
    </i>
    <i>
      <x v="11"/>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B25AA-104C-D04F-B3B1-67510E908893}" name="Toss Decisio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x="2"/>
        <item h="1" x="1"/>
        <item h="1"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1F0AE-1023-B640-88A7-2617A77B4D01}" name="Top 10 Venue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5"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x="2"/>
        <item h="1" x="1"/>
        <item h="1" x="0"/>
        <item t="default"/>
      </items>
    </pivotField>
    <pivotField showAll="0"/>
    <pivotField numFmtId="14" showAll="0"/>
    <pivotField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dataField="1"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48"/>
    </i>
    <i>
      <x v="40"/>
    </i>
    <i>
      <x v="24"/>
    </i>
    <i>
      <x v="4"/>
    </i>
    <i>
      <x v="57"/>
    </i>
    <i>
      <x v="44"/>
    </i>
    <i>
      <x v="1"/>
    </i>
    <i>
      <x v="15"/>
    </i>
    <i>
      <x v="28"/>
    </i>
    <i>
      <x v="33"/>
    </i>
    <i t="grand">
      <x/>
    </i>
  </rowItems>
  <colFields count="1">
    <field x="7"/>
  </colFields>
  <colItems count="3">
    <i>
      <x/>
    </i>
    <i>
      <x v="1"/>
    </i>
    <i t="grand">
      <x/>
    </i>
  </colItems>
  <dataFields count="1">
    <dataField name="Count of winner" fld="10"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0"/>
          </reference>
        </references>
      </pivotArea>
    </chartFormat>
    <chartFormat chart="6" format="3" series="1">
      <pivotArea type="data" outline="0" fieldPosition="0">
        <references count="2">
          <reference field="4294967294" count="1" selected="0">
            <x v="0"/>
          </reference>
          <reference field="7" count="1" selected="0">
            <x v="1"/>
          </reference>
        </references>
      </pivotArea>
    </chartFormat>
    <chartFormat chart="7" format="4" series="1">
      <pivotArea type="data" outline="0" fieldPosition="0">
        <references count="2">
          <reference field="4294967294" count="1" selected="0">
            <x v="0"/>
          </reference>
          <reference field="7" count="1" selected="0">
            <x v="0"/>
          </reference>
        </references>
      </pivotArea>
    </chartFormat>
    <chartFormat chart="7" format="5" series="1">
      <pivotArea type="data" outline="0" fieldPosition="0">
        <references count="2">
          <reference field="4294967294" count="1" selected="0">
            <x v="0"/>
          </reference>
          <reference field="7" count="1" selected="0">
            <x v="1"/>
          </reference>
        </references>
      </pivotArea>
    </chartFormat>
    <chartFormat chart="9" format="6" series="1">
      <pivotArea type="data" outline="0" fieldPosition="0">
        <references count="2">
          <reference field="4294967294" count="1" selected="0">
            <x v="0"/>
          </reference>
          <reference field="7" count="1" selected="0">
            <x v="0"/>
          </reference>
        </references>
      </pivotArea>
    </chartFormat>
    <chartFormat chart="9" format="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99E11A-51DC-E84C-A16E-2F0BC59567A0}" name="MOM"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x="2"/>
        <item h="1" x="1"/>
        <item h="1"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6">
    <i>
      <x v="260"/>
    </i>
    <i>
      <x v="304"/>
    </i>
    <i>
      <x v="174"/>
    </i>
    <i>
      <x v="65"/>
    </i>
    <i>
      <x v="222"/>
    </i>
    <i>
      <x v="74"/>
    </i>
    <i>
      <x v="231"/>
    </i>
    <i>
      <x v="169"/>
    </i>
    <i>
      <x v="186"/>
    </i>
    <i>
      <x v="248"/>
    </i>
    <i>
      <x v="44"/>
    </i>
    <i>
      <x v="292"/>
    </i>
    <i>
      <x v="224"/>
    </i>
    <i>
      <x v="53"/>
    </i>
    <i>
      <x v="226"/>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EB8375-4505-534A-BABC-1D5153DE492C}" name="Winner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03254-4B51-E34B-8F3E-589830AC430D}"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h="1" x="13"/>
        <item h="1" x="12"/>
        <item h="1" x="11"/>
        <item h="1" x="10"/>
        <item h="1" x="9"/>
        <item h="1" x="8"/>
        <item h="1" x="7"/>
        <item h="1" x="6"/>
        <item h="1" x="5"/>
        <item h="1" x="4"/>
        <item h="1" x="3"/>
        <item x="2"/>
        <item h="1" x="1"/>
        <item h="1"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656B1AD-CFE8-5B4F-B7EC-B9E15091B649}" sourceName="Season">
  <pivotTables>
    <pivotTable tabId="12" name="Top 10 Venues"/>
    <pivotTable tabId="15" name="PivotTable13"/>
    <pivotTable tabId="10" name="Matches toss won"/>
    <pivotTable tabId="13" name="MOM"/>
    <pivotTable tabId="11" name="Toss Decision"/>
  </pivotTables>
  <data>
    <tabular pivotCacheId="1726548763">
      <items count="18">
        <i x="17"/>
        <i x="16"/>
        <i x="15"/>
        <i x="14"/>
        <i x="13"/>
        <i x="12"/>
        <i x="11"/>
        <i x="10"/>
        <i x="9"/>
        <i x="8"/>
        <i x="7"/>
        <i x="6"/>
        <i x="5"/>
        <i x="4"/>
        <i x="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140E74C-CC0A-B947-AA4E-F06A3987A90D}" cache="Slicer_Season" caption="Seas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A187337-ABAC-CA47-AAA6-DE5315E374B5}" cache="Slicer_Season" caption="Season"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4753BE2-234E-574F-BFE4-B5D23F103847}" cache="Slicer_Season" caption="Seas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3390B141-1752-1E42-BC1E-CCE5735C0E80}" cache="Slicer_Season" caption="Season" columnCount="6" style="SlicerStyleLight4"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1DCE1D-8BA2-F047-B12B-9FBCD4B30D68}" name="winners" displayName="winners" ref="A1:D19" totalsRowShown="0" headerRowDxfId="11" dataDxfId="10">
  <autoFilter ref="A1:D19" xr:uid="{F21DCE1D-8BA2-F047-B12B-9FBCD4B30D68}"/>
  <tableColumns count="4">
    <tableColumn id="1" xr3:uid="{7FD835A9-DCFA-C14D-8D34-228F4B0B54F4}" name="Year" dataDxfId="9"/>
    <tableColumn id="2" xr3:uid="{EDA271ED-9234-374A-9278-50896A672620}" name="Winner" dataDxfId="8"/>
    <tableColumn id="3" xr3:uid="{13DE5FAC-CBA0-D946-AE27-914C16BB9956}" name="Runner-Up" dataDxfId="7"/>
    <tableColumn id="6" xr3:uid="{5B58B95D-7DE7-D24D-A5EC-8B0D0707BDFB}" name="Player of the Season" dataDxfId="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BBA93C-E4A6-974D-9AB6-038787511FE2}" name="winners4" displayName="winners4" ref="D30:G48" totalsRowShown="0" headerRowDxfId="5" dataDxfId="4">
  <autoFilter ref="D30:G48" xr:uid="{C7BBA93C-E4A6-974D-9AB6-038787511FE2}"/>
  <tableColumns count="4">
    <tableColumn id="1" xr3:uid="{08C6597D-9356-4047-96FC-AF8C24930D9C}" name="Year" dataDxfId="3"/>
    <tableColumn id="2" xr3:uid="{EBC1CB0F-E0E8-DE4D-8CF9-C9DB3A595983}" name="Winner" dataDxfId="2"/>
    <tableColumn id="3" xr3:uid="{B1C05A7A-D57A-C44B-9105-C973CD97610C}" name="Runner-Up" dataDxfId="1"/>
    <tableColumn id="6" xr3:uid="{148267E4-291C-C246-8134-814B268F0442}" name="Player of the Season"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A59E-EA8D-5C4B-918E-CA58B3BED1B5}">
  <dimension ref="A3:D16"/>
  <sheetViews>
    <sheetView zoomScale="65" zoomScaleNormal="88" workbookViewId="0">
      <selection activeCell="O16" sqref="O16"/>
    </sheetView>
  </sheetViews>
  <sheetFormatPr defaultColWidth="11.19921875" defaultRowHeight="15.6" x14ac:dyDescent="0.3"/>
  <cols>
    <col min="1" max="1" width="25.796875" bestFit="1" customWidth="1"/>
    <col min="2" max="2" width="16.296875" bestFit="1" customWidth="1"/>
    <col min="3" max="3" width="4.69921875" bestFit="1" customWidth="1"/>
    <col min="4" max="4" width="10.8984375" bestFit="1" customWidth="1"/>
  </cols>
  <sheetData>
    <row r="3" spans="1:4" x14ac:dyDescent="0.3">
      <c r="A3" s="1" t="s">
        <v>22</v>
      </c>
      <c r="B3" s="1" t="s">
        <v>23</v>
      </c>
    </row>
    <row r="4" spans="1:4" x14ac:dyDescent="0.3">
      <c r="A4" s="1" t="s">
        <v>20</v>
      </c>
      <c r="B4" t="s">
        <v>4</v>
      </c>
      <c r="C4" t="s">
        <v>2</v>
      </c>
      <c r="D4" t="s">
        <v>21</v>
      </c>
    </row>
    <row r="5" spans="1:4" x14ac:dyDescent="0.3">
      <c r="A5" s="2" t="s">
        <v>16</v>
      </c>
      <c r="B5" s="10">
        <v>2</v>
      </c>
      <c r="C5" s="10">
        <v>9</v>
      </c>
      <c r="D5" s="10">
        <v>11</v>
      </c>
    </row>
    <row r="6" spans="1:4" x14ac:dyDescent="0.3">
      <c r="A6" s="2" t="s">
        <v>7</v>
      </c>
      <c r="B6" s="10">
        <v>2</v>
      </c>
      <c r="C6" s="10">
        <v>8</v>
      </c>
      <c r="D6" s="10">
        <v>10</v>
      </c>
    </row>
    <row r="7" spans="1:4" x14ac:dyDescent="0.3">
      <c r="A7" s="2" t="s">
        <v>1</v>
      </c>
      <c r="B7" s="10">
        <v>2</v>
      </c>
      <c r="C7" s="10">
        <v>7</v>
      </c>
      <c r="D7" s="10">
        <v>9</v>
      </c>
    </row>
    <row r="8" spans="1:4" x14ac:dyDescent="0.3">
      <c r="A8" s="2" t="s">
        <v>11</v>
      </c>
      <c r="B8" s="10">
        <v>2</v>
      </c>
      <c r="C8" s="10">
        <v>6</v>
      </c>
      <c r="D8" s="10">
        <v>8</v>
      </c>
    </row>
    <row r="9" spans="1:4" x14ac:dyDescent="0.3">
      <c r="A9" s="2" t="s">
        <v>5</v>
      </c>
      <c r="B9" s="10">
        <v>2</v>
      </c>
      <c r="C9" s="10">
        <v>5</v>
      </c>
      <c r="D9" s="10">
        <v>7</v>
      </c>
    </row>
    <row r="10" spans="1:4" x14ac:dyDescent="0.3">
      <c r="A10" s="2" t="s">
        <v>0</v>
      </c>
      <c r="B10" s="10">
        <v>1</v>
      </c>
      <c r="C10" s="10">
        <v>6</v>
      </c>
      <c r="D10" s="10">
        <v>7</v>
      </c>
    </row>
    <row r="11" spans="1:4" x14ac:dyDescent="0.3">
      <c r="A11" s="2" t="s">
        <v>9</v>
      </c>
      <c r="B11" s="10">
        <v>1</v>
      </c>
      <c r="C11" s="10">
        <v>5</v>
      </c>
      <c r="D11" s="10">
        <v>6</v>
      </c>
    </row>
    <row r="12" spans="1:4" x14ac:dyDescent="0.3">
      <c r="A12" s="2" t="s">
        <v>6</v>
      </c>
      <c r="B12" s="10">
        <v>4</v>
      </c>
      <c r="C12" s="10">
        <v>2</v>
      </c>
      <c r="D12" s="10">
        <v>6</v>
      </c>
    </row>
    <row r="13" spans="1:4" x14ac:dyDescent="0.3">
      <c r="A13" s="2" t="s">
        <v>13</v>
      </c>
      <c r="B13" s="10">
        <v>3</v>
      </c>
      <c r="C13" s="10">
        <v>2</v>
      </c>
      <c r="D13" s="10">
        <v>5</v>
      </c>
    </row>
    <row r="14" spans="1:4" x14ac:dyDescent="0.3">
      <c r="A14" s="2" t="s">
        <v>8</v>
      </c>
      <c r="B14" s="10">
        <v>2</v>
      </c>
      <c r="C14" s="10">
        <v>2</v>
      </c>
      <c r="D14" s="10">
        <v>4</v>
      </c>
    </row>
    <row r="15" spans="1:4" x14ac:dyDescent="0.3">
      <c r="A15" s="2" t="s">
        <v>3</v>
      </c>
      <c r="B15" s="10"/>
      <c r="C15" s="10">
        <v>1</v>
      </c>
      <c r="D15" s="10">
        <v>1</v>
      </c>
    </row>
    <row r="16" spans="1:4" x14ac:dyDescent="0.3">
      <c r="A16" s="2" t="s">
        <v>21</v>
      </c>
      <c r="B16" s="10">
        <v>21</v>
      </c>
      <c r="C16" s="10">
        <v>53</v>
      </c>
      <c r="D16" s="10">
        <v>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42EF-4014-B044-8832-373CF6184075}">
  <dimension ref="A3:B6"/>
  <sheetViews>
    <sheetView zoomScale="105" workbookViewId="0">
      <selection activeCell="B11" sqref="B11"/>
    </sheetView>
  </sheetViews>
  <sheetFormatPr defaultColWidth="11.19921875" defaultRowHeight="15.6" x14ac:dyDescent="0.3"/>
  <cols>
    <col min="1" max="1" width="12.296875" bestFit="1" customWidth="1"/>
    <col min="2" max="2" width="14.69921875" bestFit="1" customWidth="1"/>
    <col min="3" max="3" width="14.19921875" bestFit="1" customWidth="1"/>
  </cols>
  <sheetData>
    <row r="3" spans="1:2" x14ac:dyDescent="0.3">
      <c r="A3" s="1" t="s">
        <v>20</v>
      </c>
      <c r="B3" t="s">
        <v>24</v>
      </c>
    </row>
    <row r="4" spans="1:2" x14ac:dyDescent="0.3">
      <c r="A4" s="2" t="s">
        <v>4</v>
      </c>
      <c r="B4" s="10">
        <v>21</v>
      </c>
    </row>
    <row r="5" spans="1:2" x14ac:dyDescent="0.3">
      <c r="A5" s="2" t="s">
        <v>2</v>
      </c>
      <c r="B5" s="10">
        <v>53</v>
      </c>
    </row>
    <row r="6" spans="1:2" x14ac:dyDescent="0.3">
      <c r="A6" s="2" t="s">
        <v>21</v>
      </c>
      <c r="B6" s="10">
        <v>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C444-D9BD-2145-9B03-BC36E1D3DA2D}">
  <dimension ref="A3:D15"/>
  <sheetViews>
    <sheetView zoomScale="62" workbookViewId="0">
      <selection activeCell="B11" sqref="B11"/>
    </sheetView>
  </sheetViews>
  <sheetFormatPr defaultColWidth="11.19921875" defaultRowHeight="15.6" x14ac:dyDescent="0.3"/>
  <cols>
    <col min="1" max="1" width="65.296875" bestFit="1" customWidth="1"/>
    <col min="2" max="2" width="15.69921875" bestFit="1" customWidth="1"/>
    <col min="3" max="3" width="4.59765625" bestFit="1" customWidth="1"/>
    <col min="4" max="4" width="10.8984375" bestFit="1" customWidth="1"/>
    <col min="5" max="5" width="14.796875" bestFit="1" customWidth="1"/>
    <col min="6" max="6" width="12" bestFit="1" customWidth="1"/>
    <col min="7" max="7" width="12.796875" bestFit="1" customWidth="1"/>
    <col min="8" max="8" width="13.796875" bestFit="1" customWidth="1"/>
    <col min="9" max="9" width="18.5" bestFit="1" customWidth="1"/>
    <col min="10" max="10" width="19.19921875" bestFit="1" customWidth="1"/>
    <col min="11" max="11" width="19.5" bestFit="1" customWidth="1"/>
    <col min="12" max="12" width="14.296875" bestFit="1" customWidth="1"/>
    <col min="13" max="13" width="12.796875" bestFit="1" customWidth="1"/>
    <col min="14" max="14" width="11.69921875" bestFit="1" customWidth="1"/>
    <col min="15" max="15" width="15.296875" bestFit="1" customWidth="1"/>
    <col min="16" max="16" width="20.19921875" bestFit="1" customWidth="1"/>
    <col min="17" max="17" width="21" bestFit="1" customWidth="1"/>
    <col min="18" max="19" width="25" bestFit="1" customWidth="1"/>
    <col min="20" max="20" width="18.296875" bestFit="1" customWidth="1"/>
  </cols>
  <sheetData>
    <row r="3" spans="1:4" x14ac:dyDescent="0.3">
      <c r="A3" s="1" t="s">
        <v>24</v>
      </c>
      <c r="B3" s="1" t="s">
        <v>23</v>
      </c>
    </row>
    <row r="4" spans="1:4" x14ac:dyDescent="0.3">
      <c r="A4" s="1" t="s">
        <v>20</v>
      </c>
      <c r="B4" t="s">
        <v>4</v>
      </c>
      <c r="C4" t="s">
        <v>2</v>
      </c>
      <c r="D4" t="s">
        <v>21</v>
      </c>
    </row>
    <row r="5" spans="1:4" x14ac:dyDescent="0.3">
      <c r="A5" s="2" t="s">
        <v>73</v>
      </c>
      <c r="B5" s="10">
        <v>4</v>
      </c>
      <c r="C5" s="10">
        <v>1</v>
      </c>
      <c r="D5" s="10">
        <v>5</v>
      </c>
    </row>
    <row r="6" spans="1:4" x14ac:dyDescent="0.3">
      <c r="A6" s="2" t="s">
        <v>74</v>
      </c>
      <c r="B6" s="10"/>
      <c r="C6" s="10">
        <v>5</v>
      </c>
      <c r="D6" s="10">
        <v>5</v>
      </c>
    </row>
    <row r="7" spans="1:4" x14ac:dyDescent="0.3">
      <c r="A7" s="2" t="s">
        <v>75</v>
      </c>
      <c r="B7" s="10"/>
      <c r="C7" s="10">
        <v>7</v>
      </c>
      <c r="D7" s="10">
        <v>7</v>
      </c>
    </row>
    <row r="8" spans="1:4" x14ac:dyDescent="0.3">
      <c r="A8" s="2" t="s">
        <v>76</v>
      </c>
      <c r="B8" s="10">
        <v>3</v>
      </c>
      <c r="C8" s="10">
        <v>4</v>
      </c>
      <c r="D8" s="10">
        <v>7</v>
      </c>
    </row>
    <row r="9" spans="1:4" x14ac:dyDescent="0.3">
      <c r="A9" s="2" t="s">
        <v>10</v>
      </c>
      <c r="B9" s="10">
        <v>1</v>
      </c>
      <c r="C9" s="10">
        <v>6</v>
      </c>
      <c r="D9" s="10">
        <v>7</v>
      </c>
    </row>
    <row r="10" spans="1:4" x14ac:dyDescent="0.3">
      <c r="A10" s="2" t="s">
        <v>77</v>
      </c>
      <c r="B10" s="10">
        <v>3</v>
      </c>
      <c r="C10" s="10">
        <v>4</v>
      </c>
      <c r="D10" s="10">
        <v>7</v>
      </c>
    </row>
    <row r="11" spans="1:4" x14ac:dyDescent="0.3">
      <c r="A11" s="2" t="s">
        <v>69</v>
      </c>
      <c r="B11" s="10">
        <v>3</v>
      </c>
      <c r="C11" s="10">
        <v>4</v>
      </c>
      <c r="D11" s="10">
        <v>7</v>
      </c>
    </row>
    <row r="12" spans="1:4" x14ac:dyDescent="0.3">
      <c r="A12" s="2" t="s">
        <v>78</v>
      </c>
      <c r="B12" s="10">
        <v>1</v>
      </c>
      <c r="C12" s="10">
        <v>6</v>
      </c>
      <c r="D12" s="10">
        <v>7</v>
      </c>
    </row>
    <row r="13" spans="1:4" x14ac:dyDescent="0.3">
      <c r="A13" s="2" t="s">
        <v>71</v>
      </c>
      <c r="B13" s="10">
        <v>4</v>
      </c>
      <c r="C13" s="10">
        <v>5</v>
      </c>
      <c r="D13" s="10">
        <v>9</v>
      </c>
    </row>
    <row r="14" spans="1:4" x14ac:dyDescent="0.3">
      <c r="A14" s="2" t="s">
        <v>70</v>
      </c>
      <c r="B14" s="10">
        <v>2</v>
      </c>
      <c r="C14" s="10">
        <v>7</v>
      </c>
      <c r="D14" s="10">
        <v>9</v>
      </c>
    </row>
    <row r="15" spans="1:4" x14ac:dyDescent="0.3">
      <c r="A15" s="2" t="s">
        <v>21</v>
      </c>
      <c r="B15" s="10">
        <v>21</v>
      </c>
      <c r="C15" s="10">
        <v>49</v>
      </c>
      <c r="D15" s="10">
        <v>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1FAF-8EAE-3A44-A922-EC94EE369874}">
  <dimension ref="A3:E19"/>
  <sheetViews>
    <sheetView zoomScale="54" workbookViewId="0">
      <selection activeCell="B11" sqref="B11"/>
    </sheetView>
  </sheetViews>
  <sheetFormatPr defaultColWidth="11.19921875" defaultRowHeight="15.6" x14ac:dyDescent="0.3"/>
  <cols>
    <col min="1" max="1" width="18.19921875" bestFit="1" customWidth="1"/>
    <col min="2" max="2" width="31.3984375" bestFit="1" customWidth="1"/>
    <col min="4" max="4" width="17.19921875" customWidth="1"/>
  </cols>
  <sheetData>
    <row r="3" spans="1:5" x14ac:dyDescent="0.3">
      <c r="A3" s="1" t="s">
        <v>20</v>
      </c>
      <c r="B3" t="s">
        <v>26</v>
      </c>
      <c r="D3" t="s">
        <v>62</v>
      </c>
      <c r="E3" t="s">
        <v>63</v>
      </c>
    </row>
    <row r="4" spans="1:5" x14ac:dyDescent="0.3">
      <c r="A4" s="2" t="s">
        <v>12</v>
      </c>
      <c r="B4" s="10">
        <v>4</v>
      </c>
      <c r="D4" t="str">
        <f>A4</f>
        <v>Shubman Gill</v>
      </c>
      <c r="E4">
        <f>GETPIVOTDATA("player_of_match",$A$3,"player_of_match",A4)</f>
        <v>4</v>
      </c>
    </row>
    <row r="5" spans="1:5" x14ac:dyDescent="0.3">
      <c r="A5" s="2" t="s">
        <v>79</v>
      </c>
      <c r="B5" s="10">
        <v>4</v>
      </c>
      <c r="D5" t="str">
        <f t="shared" ref="D5:D13" si="0">A5</f>
        <v>YBK Jaiswal</v>
      </c>
      <c r="E5">
        <f t="shared" ref="E5:E13" si="1">GETPIVOTDATA("player_of_match",$A$3,"player_of_match",A5)</f>
        <v>4</v>
      </c>
    </row>
    <row r="6" spans="1:5" x14ac:dyDescent="0.3">
      <c r="A6" s="2" t="s">
        <v>68</v>
      </c>
      <c r="B6" s="10">
        <v>3</v>
      </c>
      <c r="D6" t="str">
        <f t="shared" si="0"/>
        <v>MP Stoinis</v>
      </c>
      <c r="E6">
        <f t="shared" si="1"/>
        <v>3</v>
      </c>
    </row>
    <row r="7" spans="1:5" x14ac:dyDescent="0.3">
      <c r="A7" s="2" t="s">
        <v>80</v>
      </c>
      <c r="B7" s="10">
        <v>3</v>
      </c>
      <c r="D7" t="str">
        <f t="shared" si="0"/>
        <v>DP Conway</v>
      </c>
      <c r="E7">
        <f t="shared" si="1"/>
        <v>3</v>
      </c>
    </row>
    <row r="8" spans="1:5" x14ac:dyDescent="0.3">
      <c r="A8" s="2" t="s">
        <v>14</v>
      </c>
      <c r="B8" s="10">
        <v>3</v>
      </c>
      <c r="D8" t="str">
        <f t="shared" si="0"/>
        <v>RA Jadeja</v>
      </c>
      <c r="E8">
        <f t="shared" si="1"/>
        <v>3</v>
      </c>
    </row>
    <row r="9" spans="1:5" x14ac:dyDescent="0.3">
      <c r="A9" s="2" t="s">
        <v>66</v>
      </c>
      <c r="B9" s="10">
        <v>2</v>
      </c>
      <c r="D9" t="str">
        <f t="shared" si="0"/>
        <v>F du Plessis</v>
      </c>
      <c r="E9">
        <f t="shared" si="1"/>
        <v>2</v>
      </c>
    </row>
    <row r="10" spans="1:5" x14ac:dyDescent="0.3">
      <c r="A10" s="2" t="s">
        <v>81</v>
      </c>
      <c r="B10" s="10">
        <v>2</v>
      </c>
      <c r="D10" t="str">
        <f t="shared" si="0"/>
        <v>RK Singh</v>
      </c>
      <c r="E10">
        <f t="shared" si="1"/>
        <v>2</v>
      </c>
    </row>
    <row r="11" spans="1:5" x14ac:dyDescent="0.3">
      <c r="A11" s="2" t="s">
        <v>82</v>
      </c>
      <c r="B11" s="10">
        <v>2</v>
      </c>
      <c r="D11" t="str">
        <f t="shared" si="0"/>
        <v>MM Sharma</v>
      </c>
      <c r="E11">
        <f t="shared" si="1"/>
        <v>2</v>
      </c>
    </row>
    <row r="12" spans="1:5" x14ac:dyDescent="0.3">
      <c r="A12" s="2" t="s">
        <v>83</v>
      </c>
      <c r="B12" s="10">
        <v>2</v>
      </c>
      <c r="D12" t="str">
        <f t="shared" si="0"/>
        <v>N Pooran</v>
      </c>
      <c r="E12">
        <f t="shared" si="1"/>
        <v>2</v>
      </c>
    </row>
    <row r="13" spans="1:5" x14ac:dyDescent="0.3">
      <c r="A13" s="2" t="s">
        <v>84</v>
      </c>
      <c r="B13" s="10">
        <v>2</v>
      </c>
      <c r="D13" t="str">
        <f t="shared" si="0"/>
        <v>SA Yadav</v>
      </c>
      <c r="E13">
        <f t="shared" si="1"/>
        <v>2</v>
      </c>
    </row>
    <row r="14" spans="1:5" x14ac:dyDescent="0.3">
      <c r="A14" s="2" t="s">
        <v>85</v>
      </c>
      <c r="B14" s="10">
        <v>2</v>
      </c>
    </row>
    <row r="15" spans="1:5" x14ac:dyDescent="0.3">
      <c r="A15" s="2" t="s">
        <v>18</v>
      </c>
      <c r="B15" s="10">
        <v>2</v>
      </c>
    </row>
    <row r="16" spans="1:5" x14ac:dyDescent="0.3">
      <c r="A16" s="2" t="s">
        <v>67</v>
      </c>
      <c r="B16" s="10">
        <v>2</v>
      </c>
    </row>
    <row r="17" spans="1:2" x14ac:dyDescent="0.3">
      <c r="A17" s="2" t="s">
        <v>86</v>
      </c>
      <c r="B17" s="10">
        <v>2</v>
      </c>
    </row>
    <row r="18" spans="1:2" x14ac:dyDescent="0.3">
      <c r="A18" s="2" t="s">
        <v>72</v>
      </c>
      <c r="B18" s="10">
        <v>2</v>
      </c>
    </row>
    <row r="19" spans="1:2" x14ac:dyDescent="0.3">
      <c r="A19" s="2" t="s">
        <v>21</v>
      </c>
      <c r="B19" s="10">
        <v>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6063-BE39-C944-B06A-F0220261B2EB}">
  <dimension ref="A3:F12"/>
  <sheetViews>
    <sheetView zoomScale="52" workbookViewId="0">
      <selection activeCell="B11" sqref="B11"/>
    </sheetView>
  </sheetViews>
  <sheetFormatPr defaultColWidth="11.19921875" defaultRowHeight="15.6" x14ac:dyDescent="0.3"/>
  <cols>
    <col min="1" max="1" width="24.796875" bestFit="1" customWidth="1"/>
    <col min="2" max="2" width="14.5" bestFit="1" customWidth="1"/>
    <col min="5" max="5" width="24.796875" bestFit="1" customWidth="1"/>
  </cols>
  <sheetData>
    <row r="3" spans="1:6" x14ac:dyDescent="0.3">
      <c r="A3" s="1" t="s">
        <v>20</v>
      </c>
      <c r="B3" t="s">
        <v>29</v>
      </c>
      <c r="E3" t="s">
        <v>64</v>
      </c>
      <c r="F3" t="s">
        <v>65</v>
      </c>
    </row>
    <row r="4" spans="1:6" x14ac:dyDescent="0.3">
      <c r="A4" s="2" t="s">
        <v>7</v>
      </c>
      <c r="B4">
        <v>5</v>
      </c>
      <c r="E4" t="str">
        <f>A4</f>
        <v>Chennai Super Kings</v>
      </c>
      <c r="F4">
        <f>GETPIVOTDATA("Winner",$A$3,"Winner",A4)</f>
        <v>5</v>
      </c>
    </row>
    <row r="5" spans="1:6" x14ac:dyDescent="0.3">
      <c r="A5" s="2" t="s">
        <v>1</v>
      </c>
      <c r="B5">
        <v>5</v>
      </c>
      <c r="E5" t="str">
        <f t="shared" ref="E5:E11" si="0">A5</f>
        <v>Mumbai Indians</v>
      </c>
      <c r="F5">
        <f t="shared" ref="F5:F11" si="1">GETPIVOTDATA("Winner",$A$3,"Winner",A5)</f>
        <v>5</v>
      </c>
    </row>
    <row r="6" spans="1:6" x14ac:dyDescent="0.3">
      <c r="A6" s="2" t="s">
        <v>6</v>
      </c>
      <c r="B6">
        <v>3</v>
      </c>
      <c r="E6" t="str">
        <f t="shared" si="0"/>
        <v>Kolkata Knight Riders</v>
      </c>
      <c r="F6">
        <f t="shared" si="1"/>
        <v>3</v>
      </c>
    </row>
    <row r="7" spans="1:6" x14ac:dyDescent="0.3">
      <c r="A7" s="2" t="s">
        <v>17</v>
      </c>
      <c r="B7">
        <v>1</v>
      </c>
      <c r="E7" t="str">
        <f t="shared" si="0"/>
        <v>Royal Challengers Bengaluru</v>
      </c>
      <c r="F7">
        <f t="shared" si="1"/>
        <v>1</v>
      </c>
    </row>
    <row r="8" spans="1:6" x14ac:dyDescent="0.3">
      <c r="A8" s="2" t="s">
        <v>15</v>
      </c>
      <c r="B8">
        <v>1</v>
      </c>
      <c r="E8" t="str">
        <f t="shared" si="0"/>
        <v>Deccan Chargers</v>
      </c>
      <c r="F8">
        <f t="shared" si="1"/>
        <v>1</v>
      </c>
    </row>
    <row r="9" spans="1:6" x14ac:dyDescent="0.3">
      <c r="A9" s="2" t="s">
        <v>8</v>
      </c>
      <c r="B9">
        <v>1</v>
      </c>
      <c r="E9" t="str">
        <f t="shared" si="0"/>
        <v>Sunrisers Hyderabad</v>
      </c>
      <c r="F9">
        <f t="shared" si="1"/>
        <v>1</v>
      </c>
    </row>
    <row r="10" spans="1:6" x14ac:dyDescent="0.3">
      <c r="A10" s="2" t="s">
        <v>16</v>
      </c>
      <c r="B10">
        <v>1</v>
      </c>
      <c r="E10" t="str">
        <f t="shared" si="0"/>
        <v>Gujarat Titans</v>
      </c>
      <c r="F10">
        <f t="shared" si="1"/>
        <v>1</v>
      </c>
    </row>
    <row r="11" spans="1:6" x14ac:dyDescent="0.3">
      <c r="A11" s="2" t="s">
        <v>0</v>
      </c>
      <c r="B11">
        <v>1</v>
      </c>
      <c r="E11" t="str">
        <f t="shared" si="0"/>
        <v>Rajasthan Royals</v>
      </c>
      <c r="F11">
        <f t="shared" si="1"/>
        <v>1</v>
      </c>
    </row>
    <row r="12" spans="1:6" x14ac:dyDescent="0.3">
      <c r="A12" s="2" t="s">
        <v>21</v>
      </c>
      <c r="B12">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8099-5FB6-A847-AA16-E167F4A0DD37}">
  <dimension ref="A1:I28"/>
  <sheetViews>
    <sheetView zoomScale="51" workbookViewId="0">
      <selection activeCell="D46" sqref="D46"/>
    </sheetView>
  </sheetViews>
  <sheetFormatPr defaultColWidth="11.19921875" defaultRowHeight="15.6" x14ac:dyDescent="0.3"/>
  <cols>
    <col min="1" max="1" width="10.796875" bestFit="1" customWidth="1"/>
    <col min="2" max="3" width="28.296875" bestFit="1" customWidth="1"/>
    <col min="4" max="4" width="23.5" bestFit="1" customWidth="1"/>
  </cols>
  <sheetData>
    <row r="1" spans="1:4" ht="16.8" x14ac:dyDescent="0.3">
      <c r="A1" s="3" t="s">
        <v>25</v>
      </c>
      <c r="B1" s="3" t="s">
        <v>27</v>
      </c>
      <c r="C1" s="3" t="s">
        <v>28</v>
      </c>
      <c r="D1" s="4" t="s">
        <v>48</v>
      </c>
    </row>
    <row r="2" spans="1:4" ht="16.8" x14ac:dyDescent="0.3">
      <c r="A2" s="5">
        <v>2008</v>
      </c>
      <c r="B2" s="5" t="s">
        <v>0</v>
      </c>
      <c r="C2" s="5" t="s">
        <v>7</v>
      </c>
      <c r="D2" s="6" t="s">
        <v>49</v>
      </c>
    </row>
    <row r="3" spans="1:4" ht="16.8" x14ac:dyDescent="0.3">
      <c r="A3" s="5">
        <v>2009</v>
      </c>
      <c r="B3" s="5" t="s">
        <v>15</v>
      </c>
      <c r="C3" s="5" t="s">
        <v>5</v>
      </c>
      <c r="D3" s="6" t="s">
        <v>50</v>
      </c>
    </row>
    <row r="4" spans="1:4" ht="16.8" x14ac:dyDescent="0.3">
      <c r="A4" s="5">
        <v>2010</v>
      </c>
      <c r="B4" s="5" t="s">
        <v>7</v>
      </c>
      <c r="C4" s="5" t="s">
        <v>1</v>
      </c>
      <c r="D4" s="6" t="s">
        <v>51</v>
      </c>
    </row>
    <row r="5" spans="1:4" ht="16.8" x14ac:dyDescent="0.3">
      <c r="A5" s="5">
        <v>2011</v>
      </c>
      <c r="B5" s="5" t="s">
        <v>7</v>
      </c>
      <c r="C5" s="5" t="s">
        <v>5</v>
      </c>
      <c r="D5" s="6" t="s">
        <v>52</v>
      </c>
    </row>
    <row r="6" spans="1:4" ht="16.8" x14ac:dyDescent="0.3">
      <c r="A6" s="5">
        <v>2012</v>
      </c>
      <c r="B6" s="5" t="s">
        <v>6</v>
      </c>
      <c r="C6" s="5" t="s">
        <v>7</v>
      </c>
      <c r="D6" s="6" t="s">
        <v>53</v>
      </c>
    </row>
    <row r="7" spans="1:4" ht="16.8" x14ac:dyDescent="0.3">
      <c r="A7" s="5">
        <v>2013</v>
      </c>
      <c r="B7" s="5" t="s">
        <v>1</v>
      </c>
      <c r="C7" s="5" t="s">
        <v>7</v>
      </c>
      <c r="D7" s="6" t="s">
        <v>49</v>
      </c>
    </row>
    <row r="8" spans="1:4" ht="16.8" x14ac:dyDescent="0.3">
      <c r="A8" s="5">
        <v>2014</v>
      </c>
      <c r="B8" s="5" t="s">
        <v>6</v>
      </c>
      <c r="C8" s="5" t="s">
        <v>9</v>
      </c>
      <c r="D8" s="6" t="s">
        <v>54</v>
      </c>
    </row>
    <row r="9" spans="1:4" ht="16.8" x14ac:dyDescent="0.3">
      <c r="A9" s="5">
        <v>2015</v>
      </c>
      <c r="B9" s="5" t="s">
        <v>1</v>
      </c>
      <c r="C9" s="5" t="s">
        <v>7</v>
      </c>
      <c r="D9" s="6" t="s">
        <v>55</v>
      </c>
    </row>
    <row r="10" spans="1:4" ht="16.8" x14ac:dyDescent="0.3">
      <c r="A10" s="5">
        <v>2016</v>
      </c>
      <c r="B10" s="5" t="s">
        <v>8</v>
      </c>
      <c r="C10" s="5" t="s">
        <v>5</v>
      </c>
      <c r="D10" s="6" t="s">
        <v>56</v>
      </c>
    </row>
    <row r="11" spans="1:4" ht="16.8" x14ac:dyDescent="0.3">
      <c r="A11" s="5">
        <v>2017</v>
      </c>
      <c r="B11" s="5" t="s">
        <v>1</v>
      </c>
      <c r="C11" s="5" t="s">
        <v>19</v>
      </c>
      <c r="D11" s="6" t="s">
        <v>57</v>
      </c>
    </row>
    <row r="12" spans="1:4" ht="16.8" x14ac:dyDescent="0.3">
      <c r="A12" s="5">
        <v>2018</v>
      </c>
      <c r="B12" s="5" t="s">
        <v>7</v>
      </c>
      <c r="C12" s="5" t="s">
        <v>8</v>
      </c>
      <c r="D12" s="6" t="s">
        <v>53</v>
      </c>
    </row>
    <row r="13" spans="1:4" ht="16.8" x14ac:dyDescent="0.3">
      <c r="A13" s="5">
        <v>2019</v>
      </c>
      <c r="B13" s="5" t="s">
        <v>1</v>
      </c>
      <c r="C13" s="5" t="s">
        <v>7</v>
      </c>
      <c r="D13" s="6" t="s">
        <v>55</v>
      </c>
    </row>
    <row r="14" spans="1:4" ht="16.8" x14ac:dyDescent="0.3">
      <c r="A14" s="5">
        <v>2020</v>
      </c>
      <c r="B14" s="5" t="s">
        <v>1</v>
      </c>
      <c r="C14" s="5" t="s">
        <v>13</v>
      </c>
      <c r="D14" s="6" t="s">
        <v>58</v>
      </c>
    </row>
    <row r="15" spans="1:4" ht="16.8" x14ac:dyDescent="0.3">
      <c r="A15" s="5">
        <v>2021</v>
      </c>
      <c r="B15" s="5" t="s">
        <v>7</v>
      </c>
      <c r="C15" s="5" t="s">
        <v>6</v>
      </c>
      <c r="D15" s="6" t="s">
        <v>59</v>
      </c>
    </row>
    <row r="16" spans="1:4" ht="16.8" x14ac:dyDescent="0.3">
      <c r="A16" s="5">
        <v>2022</v>
      </c>
      <c r="B16" s="5" t="s">
        <v>16</v>
      </c>
      <c r="C16" s="5" t="s">
        <v>0</v>
      </c>
      <c r="D16" s="6" t="s">
        <v>60</v>
      </c>
    </row>
    <row r="17" spans="1:9" ht="16.8" x14ac:dyDescent="0.3">
      <c r="A17" s="5">
        <v>2023</v>
      </c>
      <c r="B17" s="5" t="s">
        <v>7</v>
      </c>
      <c r="C17" s="5" t="s">
        <v>16</v>
      </c>
      <c r="D17" s="6" t="s">
        <v>12</v>
      </c>
    </row>
    <row r="18" spans="1:9" ht="16.8" x14ac:dyDescent="0.3">
      <c r="A18" s="5">
        <v>2024</v>
      </c>
      <c r="B18" s="5" t="s">
        <v>6</v>
      </c>
      <c r="C18" s="5" t="s">
        <v>8</v>
      </c>
      <c r="D18" s="6" t="s">
        <v>53</v>
      </c>
    </row>
    <row r="19" spans="1:9" ht="16.8" x14ac:dyDescent="0.3">
      <c r="A19" s="5">
        <v>2025</v>
      </c>
      <c r="B19" s="5" t="s">
        <v>17</v>
      </c>
      <c r="C19" s="5" t="s">
        <v>9</v>
      </c>
      <c r="D19" s="6" t="s">
        <v>61</v>
      </c>
    </row>
    <row r="28" spans="1:9" x14ac:dyDescent="0.3">
      <c r="F28" s="4"/>
      <c r="G28" s="4"/>
      <c r="H28" s="4"/>
      <c r="I28" s="4"/>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49C4-E408-6F4F-9311-D271780EC40E}">
  <dimension ref="A3:H48"/>
  <sheetViews>
    <sheetView zoomScale="43" workbookViewId="0">
      <selection activeCell="B11" sqref="B11"/>
    </sheetView>
  </sheetViews>
  <sheetFormatPr defaultColWidth="11.19921875" defaultRowHeight="15.6" x14ac:dyDescent="0.3"/>
  <cols>
    <col min="1" max="1" width="20.09765625" bestFit="1" customWidth="1"/>
    <col min="5" max="6" width="29.5" bestFit="1" customWidth="1"/>
    <col min="7" max="7" width="23.5" bestFit="1" customWidth="1"/>
    <col min="8" max="8" width="21" bestFit="1" customWidth="1"/>
  </cols>
  <sheetData>
    <row r="3" spans="1:8" x14ac:dyDescent="0.3">
      <c r="A3" s="1" t="s">
        <v>20</v>
      </c>
    </row>
    <row r="4" spans="1:8" x14ac:dyDescent="0.3">
      <c r="A4" s="2" t="s">
        <v>45</v>
      </c>
    </row>
    <row r="5" spans="1:8" ht="16.8" x14ac:dyDescent="0.3">
      <c r="A5" s="2" t="s">
        <v>21</v>
      </c>
      <c r="E5" s="7" t="s">
        <v>25</v>
      </c>
      <c r="F5" s="8" t="s">
        <v>27</v>
      </c>
      <c r="G5" s="8" t="s">
        <v>28</v>
      </c>
      <c r="H5" s="9" t="s">
        <v>48</v>
      </c>
    </row>
    <row r="6" spans="1:8" x14ac:dyDescent="0.3">
      <c r="E6" t="str">
        <f>A4</f>
        <v>IPL-2023</v>
      </c>
      <c r="F6" t="str">
        <f>VLOOKUP(E6,winners4[],2,FALSE)</f>
        <v>Chennai Super Kings</v>
      </c>
      <c r="G6" t="str">
        <f>VLOOKUP($E$6,winners4[],3,FALSE)</f>
        <v>Gujarat Titans</v>
      </c>
      <c r="H6" t="str">
        <f>VLOOKUP($E$6,winners4[],4,FALSE)</f>
        <v>Shubman Gill</v>
      </c>
    </row>
    <row r="30" spans="4:7" ht="16.8" x14ac:dyDescent="0.3">
      <c r="D30" s="3" t="s">
        <v>25</v>
      </c>
      <c r="E30" s="3" t="s">
        <v>27</v>
      </c>
      <c r="F30" s="3" t="s">
        <v>28</v>
      </c>
      <c r="G30" s="4" t="s">
        <v>48</v>
      </c>
    </row>
    <row r="31" spans="4:7" ht="16.8" x14ac:dyDescent="0.3">
      <c r="D31" s="5" t="s">
        <v>30</v>
      </c>
      <c r="E31" s="5" t="s">
        <v>0</v>
      </c>
      <c r="F31" s="5" t="s">
        <v>7</v>
      </c>
      <c r="G31" s="6" t="s">
        <v>49</v>
      </c>
    </row>
    <row r="32" spans="4:7" ht="16.8" x14ac:dyDescent="0.3">
      <c r="D32" s="5" t="s">
        <v>31</v>
      </c>
      <c r="E32" s="5" t="s">
        <v>15</v>
      </c>
      <c r="F32" s="5" t="s">
        <v>5</v>
      </c>
      <c r="G32" s="6" t="s">
        <v>50</v>
      </c>
    </row>
    <row r="33" spans="4:7" ht="16.8" x14ac:dyDescent="0.3">
      <c r="D33" s="5" t="s">
        <v>32</v>
      </c>
      <c r="E33" s="5" t="s">
        <v>7</v>
      </c>
      <c r="F33" s="5" t="s">
        <v>1</v>
      </c>
      <c r="G33" s="6" t="s">
        <v>51</v>
      </c>
    </row>
    <row r="34" spans="4:7" ht="16.8" x14ac:dyDescent="0.3">
      <c r="D34" s="5" t="s">
        <v>33</v>
      </c>
      <c r="E34" s="5" t="s">
        <v>7</v>
      </c>
      <c r="F34" s="5" t="s">
        <v>5</v>
      </c>
      <c r="G34" s="6" t="s">
        <v>52</v>
      </c>
    </row>
    <row r="35" spans="4:7" ht="16.8" x14ac:dyDescent="0.3">
      <c r="D35" s="5" t="s">
        <v>34</v>
      </c>
      <c r="E35" s="5" t="s">
        <v>6</v>
      </c>
      <c r="F35" s="5" t="s">
        <v>7</v>
      </c>
      <c r="G35" s="6" t="s">
        <v>53</v>
      </c>
    </row>
    <row r="36" spans="4:7" ht="16.8" x14ac:dyDescent="0.3">
      <c r="D36" s="5" t="s">
        <v>35</v>
      </c>
      <c r="E36" s="5" t="s">
        <v>1</v>
      </c>
      <c r="F36" s="5" t="s">
        <v>7</v>
      </c>
      <c r="G36" s="6" t="s">
        <v>49</v>
      </c>
    </row>
    <row r="37" spans="4:7" ht="16.8" x14ac:dyDescent="0.3">
      <c r="D37" s="5" t="s">
        <v>36</v>
      </c>
      <c r="E37" s="5" t="s">
        <v>6</v>
      </c>
      <c r="F37" s="5" t="s">
        <v>9</v>
      </c>
      <c r="G37" s="6" t="s">
        <v>54</v>
      </c>
    </row>
    <row r="38" spans="4:7" ht="16.8" x14ac:dyDescent="0.3">
      <c r="D38" s="5" t="s">
        <v>37</v>
      </c>
      <c r="E38" s="5" t="s">
        <v>1</v>
      </c>
      <c r="F38" s="5" t="s">
        <v>7</v>
      </c>
      <c r="G38" s="6" t="s">
        <v>55</v>
      </c>
    </row>
    <row r="39" spans="4:7" ht="16.8" x14ac:dyDescent="0.3">
      <c r="D39" s="5" t="s">
        <v>38</v>
      </c>
      <c r="E39" s="5" t="s">
        <v>8</v>
      </c>
      <c r="F39" s="5" t="s">
        <v>5</v>
      </c>
      <c r="G39" s="6" t="s">
        <v>56</v>
      </c>
    </row>
    <row r="40" spans="4:7" ht="16.8" x14ac:dyDescent="0.3">
      <c r="D40" s="5" t="s">
        <v>39</v>
      </c>
      <c r="E40" s="5" t="s">
        <v>1</v>
      </c>
      <c r="F40" s="5" t="s">
        <v>19</v>
      </c>
      <c r="G40" s="6" t="s">
        <v>57</v>
      </c>
    </row>
    <row r="41" spans="4:7" ht="16.8" x14ac:dyDescent="0.3">
      <c r="D41" s="5" t="s">
        <v>40</v>
      </c>
      <c r="E41" s="5" t="s">
        <v>7</v>
      </c>
      <c r="F41" s="5" t="s">
        <v>8</v>
      </c>
      <c r="G41" s="6" t="s">
        <v>53</v>
      </c>
    </row>
    <row r="42" spans="4:7" ht="16.8" x14ac:dyDescent="0.3">
      <c r="D42" s="5" t="s">
        <v>41</v>
      </c>
      <c r="E42" s="5" t="s">
        <v>1</v>
      </c>
      <c r="F42" s="5" t="s">
        <v>7</v>
      </c>
      <c r="G42" s="6" t="s">
        <v>55</v>
      </c>
    </row>
    <row r="43" spans="4:7" ht="16.8" x14ac:dyDescent="0.3">
      <c r="D43" s="5" t="s">
        <v>42</v>
      </c>
      <c r="E43" s="5" t="s">
        <v>1</v>
      </c>
      <c r="F43" s="5" t="s">
        <v>13</v>
      </c>
      <c r="G43" s="6" t="s">
        <v>58</v>
      </c>
    </row>
    <row r="44" spans="4:7" ht="16.8" x14ac:dyDescent="0.3">
      <c r="D44" s="5" t="s">
        <v>43</v>
      </c>
      <c r="E44" s="5" t="s">
        <v>7</v>
      </c>
      <c r="F44" s="5" t="s">
        <v>6</v>
      </c>
      <c r="G44" s="6" t="s">
        <v>59</v>
      </c>
    </row>
    <row r="45" spans="4:7" ht="16.8" x14ac:dyDescent="0.3">
      <c r="D45" s="5" t="s">
        <v>44</v>
      </c>
      <c r="E45" s="5" t="s">
        <v>16</v>
      </c>
      <c r="F45" s="5" t="s">
        <v>0</v>
      </c>
      <c r="G45" s="6" t="s">
        <v>60</v>
      </c>
    </row>
    <row r="46" spans="4:7" ht="16.8" x14ac:dyDescent="0.3">
      <c r="D46" s="5" t="s">
        <v>45</v>
      </c>
      <c r="E46" s="5" t="s">
        <v>7</v>
      </c>
      <c r="F46" s="5" t="s">
        <v>16</v>
      </c>
      <c r="G46" s="6" t="s">
        <v>12</v>
      </c>
    </row>
    <row r="47" spans="4:7" ht="16.8" x14ac:dyDescent="0.3">
      <c r="D47" s="5" t="s">
        <v>46</v>
      </c>
      <c r="E47" s="5" t="s">
        <v>6</v>
      </c>
      <c r="F47" s="5" t="s">
        <v>8</v>
      </c>
      <c r="G47" s="6" t="s">
        <v>53</v>
      </c>
    </row>
    <row r="48" spans="4:7" ht="16.8" x14ac:dyDescent="0.3">
      <c r="D48" s="5" t="s">
        <v>47</v>
      </c>
      <c r="E48" s="5" t="s">
        <v>17</v>
      </c>
      <c r="F48" s="5" t="s">
        <v>9</v>
      </c>
      <c r="G48" s="6" t="s">
        <v>61</v>
      </c>
    </row>
  </sheetData>
  <phoneticPr fontId="18"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9905-5074-7149-816C-8CB97722755F}">
  <dimension ref="A1"/>
  <sheetViews>
    <sheetView tabSelected="1" zoomScale="45" zoomScaleNormal="46" workbookViewId="0">
      <selection activeCell="V9" sqref="V9"/>
    </sheetView>
  </sheetViews>
  <sheetFormatPr defaultColWidth="11.19921875"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92BA17-96E8-4350-87EA-841C89CAD6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Matches win by Team</vt:lpstr>
      <vt:lpstr>Toss Decision</vt:lpstr>
      <vt:lpstr>Top 10 Venues</vt:lpstr>
      <vt:lpstr>MOM</vt:lpstr>
      <vt:lpstr>Winners</vt:lpstr>
      <vt:lpstr>Winner Data</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Tharigonda Reddy Lakshmi</cp:lastModifiedBy>
  <dcterms:created xsi:type="dcterms:W3CDTF">2026-04-11T10:15:06Z</dcterms:created>
  <dcterms:modified xsi:type="dcterms:W3CDTF">2026-10-19T10:30:57Z</dcterms:modified>
</cp:coreProperties>
</file>